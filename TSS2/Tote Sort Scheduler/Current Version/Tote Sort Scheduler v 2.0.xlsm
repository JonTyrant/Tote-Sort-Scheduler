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H:\Work Stuff\Tote Sort Scheduler\Current Version\"/>
    </mc:Choice>
  </mc:AlternateContent>
  <bookViews>
    <workbookView xWindow="0" yWindow="0" windowWidth="28800" windowHeight="12435" tabRatio="592" firstSheet="1" activeTab="2"/>
  </bookViews>
  <sheets>
    <sheet name="Start Page" sheetId="4" state="hidden" r:id="rId1"/>
    <sheet name="Tote Sort Schedule" sheetId="2" r:id="rId2"/>
    <sheet name="EPREF" sheetId="1" r:id="rId3"/>
    <sheet name="App Data" sheetId="3" r:id="rId4"/>
    <sheet name="EE Log" sheetId="7" r:id="rId5"/>
    <sheet name="Employee Class Description" sheetId="5" state="hidden" r:id="rId6"/>
  </sheets>
  <definedNames>
    <definedName name="AVF">'App Data'!$I$18</definedName>
    <definedName name="cal_data">'Tote Sort Schedule'!$A$4:$G$21</definedName>
    <definedName name="cal_start">'App Data'!$A$8</definedName>
    <definedName name="Calendar">'Tote Sort Schedule'!$A$1:$G$21</definedName>
    <definedName name="Date_Code">'App Data'!$A$2</definedName>
    <definedName name="DEBUGMODE">'App Data'!$G$17</definedName>
    <definedName name="EECOMDBMODE">'App Data'!$G$19</definedName>
    <definedName name="emp_count">'App Data'!$F$4</definedName>
    <definedName name="list_seg">'App Data'!$G$6</definedName>
    <definedName name="MAINDBMODE">'App Data'!$G$21</definedName>
    <definedName name="MONTH">'Tote Sort Schedule'!$A$1</definedName>
    <definedName name="month_end">'App Data'!$A$6</definedName>
    <definedName name="Month_N">'App Data'!$F$8</definedName>
    <definedName name="month_name">'App Data'!$F$4</definedName>
    <definedName name="Month_Start">'App Data'!$A$4</definedName>
    <definedName name="pindex">'App Data'!$G$6</definedName>
    <definedName name="randkeyDB">'App Data'!$I$17</definedName>
    <definedName name="schdbmode">'App Data'!$G$20</definedName>
    <definedName name="SCRIBEDBMODE">'App Data'!$G$18</definedName>
    <definedName name="stp_chk">'App Data'!$F$6</definedName>
    <definedName name="WE_DAYS">'Tote Sort Schedule'!$A$5,'Tote Sort Schedule'!$G$5,'Tote Sort Schedule'!$A$8,'Tote Sort Schedule'!$G$8,'Tote Sort Schedule'!$A$11,'Tote Sort Schedule'!$G$11,'Tote Sort Schedule'!$A$14,'Tote Sort Schedule'!$G$14,'Tote Sort Schedule'!$A$17,'Tote Sort Schedule'!$G$17,'Tote Sort Schedule'!$A$20,'Tote Sort Schedule'!$G$20</definedName>
    <definedName name="week_1">'Tote Sort Schedule'!$A$5:$G$6</definedName>
    <definedName name="week_2">'Tote Sort Schedule'!$A$8:$G$9</definedName>
    <definedName name="week_3">'Tote Sort Schedule'!$A$11:$G$12</definedName>
    <definedName name="week_4">'Tote Sort Schedule'!$A$14:$G$15</definedName>
    <definedName name="week_5">'Tote Sort Schedule'!$A$17:$G$18</definedName>
    <definedName name="week_6">'Tote Sort Schedule'!$A$20:$G$21</definedName>
    <definedName name="weekNum">'App Data'!$A$12</definedName>
    <definedName name="year">'App Data'!$A$10</definedName>
    <definedName name="year_box">'App Data'!$E$2:$E$11</definedName>
    <definedName name="Year_N">'App Data'!$F$9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8" i="3" l="1"/>
  <c r="A12" i="3"/>
  <c r="A1" i="2" l="1"/>
  <c r="F9" i="3" s="1"/>
  <c r="F8" i="3" l="1"/>
  <c r="F4" i="3"/>
  <c r="A10" i="3" l="1"/>
  <c r="A2" i="3"/>
</calcChain>
</file>

<file path=xl/sharedStrings.xml><?xml version="1.0" encoding="utf-8"?>
<sst xmlns="http://schemas.openxmlformats.org/spreadsheetml/2006/main" count="294" uniqueCount="231">
  <si>
    <t>Name</t>
  </si>
  <si>
    <t xml:space="preserve">Mon </t>
  </si>
  <si>
    <t>Tue</t>
  </si>
  <si>
    <t>Wed</t>
  </si>
  <si>
    <t>Thur</t>
  </si>
  <si>
    <t>Fri</t>
  </si>
  <si>
    <t>Double</t>
  </si>
  <si>
    <t>Dan Childers</t>
  </si>
  <si>
    <t>John Lusky</t>
  </si>
  <si>
    <t>Zo Smiley</t>
  </si>
  <si>
    <t>Lisa Thomas</t>
  </si>
  <si>
    <t>John Sipes</t>
  </si>
  <si>
    <t>Treneard Thompson</t>
  </si>
  <si>
    <t>Tyler Hobbs</t>
  </si>
  <si>
    <t>Glen Amante</t>
  </si>
  <si>
    <t>Conor King</t>
  </si>
  <si>
    <t>Joe Hazelip</t>
  </si>
  <si>
    <t>Troy Netherton</t>
  </si>
  <si>
    <t>Jonathan Ladrillono</t>
  </si>
  <si>
    <t>Double In Preceding Month</t>
  </si>
  <si>
    <t xml:space="preserve">Sun </t>
  </si>
  <si>
    <t>Mon</t>
  </si>
  <si>
    <t>Sat</t>
  </si>
  <si>
    <t>Alex Pack</t>
  </si>
  <si>
    <t>Ramzi Khodor</t>
  </si>
  <si>
    <t>Date Code</t>
  </si>
  <si>
    <t>Days In Month</t>
  </si>
  <si>
    <t>May</t>
  </si>
  <si>
    <t>Sept</t>
  </si>
  <si>
    <t>Oct</t>
  </si>
  <si>
    <t>Current Month</t>
  </si>
  <si>
    <t>January</t>
  </si>
  <si>
    <t>February</t>
  </si>
  <si>
    <t>March</t>
  </si>
  <si>
    <t>April</t>
  </si>
  <si>
    <t>June</t>
  </si>
  <si>
    <t>July</t>
  </si>
  <si>
    <t>August</t>
  </si>
  <si>
    <t>November</t>
  </si>
  <si>
    <t>December</t>
  </si>
  <si>
    <t>Month Start Date Code</t>
  </si>
  <si>
    <t>Month End Date Code</t>
  </si>
  <si>
    <t>Drop Down Box Values</t>
  </si>
  <si>
    <t>Year</t>
  </si>
  <si>
    <t>2</t>
  </si>
  <si>
    <t>0</t>
  </si>
  <si>
    <t>Number of Employees</t>
  </si>
  <si>
    <t>Step 1</t>
  </si>
  <si>
    <t>Prev Index</t>
  </si>
  <si>
    <t>Poop</t>
  </si>
  <si>
    <t>Pref of Work on Mon</t>
  </si>
  <si>
    <t>Pref of Work on Tue</t>
  </si>
  <si>
    <t>Pref of Work on Wed</t>
  </si>
  <si>
    <t>Pref of Work on Thur</t>
  </si>
  <si>
    <t>Pref of Work on Fri</t>
  </si>
  <si>
    <t xml:space="preserve"> Class Properties</t>
  </si>
  <si>
    <t>Employee Class</t>
  </si>
  <si>
    <t>Internal Var Name</t>
  </si>
  <si>
    <t>External Var Name</t>
  </si>
  <si>
    <t>Work_Mon</t>
  </si>
  <si>
    <t>Work_Tue</t>
  </si>
  <si>
    <t>Work_Wed</t>
  </si>
  <si>
    <t>Work_Thur</t>
  </si>
  <si>
    <t>Work_Fri</t>
  </si>
  <si>
    <t>workmon</t>
  </si>
  <si>
    <t>worktue</t>
  </si>
  <si>
    <t>workwed</t>
  </si>
  <si>
    <t>workthur</t>
  </si>
  <si>
    <t>workfri</t>
  </si>
  <si>
    <t>Short Description</t>
  </si>
  <si>
    <t>Employee Name</t>
  </si>
  <si>
    <t>Employee Email</t>
  </si>
  <si>
    <t>Pref to Work Twice</t>
  </si>
  <si>
    <t>EMP_DBL</t>
  </si>
  <si>
    <t>DSCH</t>
  </si>
  <si>
    <t>Number of  Times Used</t>
  </si>
  <si>
    <t>EMP_USE</t>
  </si>
  <si>
    <t>USETIME</t>
  </si>
  <si>
    <t>Used in Current Week</t>
  </si>
  <si>
    <t>EMP_CWK</t>
  </si>
  <si>
    <t>Prev Month Double</t>
  </si>
  <si>
    <t>PMDOUBLE</t>
  </si>
  <si>
    <t>EMP_PMD</t>
  </si>
  <si>
    <t>EMP_EMAIL</t>
  </si>
  <si>
    <t>EMP_NAME</t>
  </si>
  <si>
    <t>EEMAIL</t>
  </si>
  <si>
    <t>EENAME</t>
  </si>
  <si>
    <t>Weekend Exception</t>
  </si>
  <si>
    <t>wkd_flag</t>
  </si>
  <si>
    <t>Control Flags</t>
  </si>
  <si>
    <t>V TYPE</t>
  </si>
  <si>
    <t>Long</t>
  </si>
  <si>
    <t>Int</t>
  </si>
  <si>
    <t>String</t>
  </si>
  <si>
    <t>EMP_WKND</t>
  </si>
  <si>
    <t>Methods</t>
  </si>
  <si>
    <t>Function Name</t>
  </si>
  <si>
    <t>Purpose</t>
  </si>
  <si>
    <t>Parameters</t>
  </si>
  <si>
    <t>Ell()</t>
  </si>
  <si>
    <t>Determines EE Eligability</t>
  </si>
  <si>
    <t>Return Value</t>
  </si>
  <si>
    <t>Return Type</t>
  </si>
  <si>
    <t>0,1,2</t>
  </si>
  <si>
    <t>DAY</t>
  </si>
  <si>
    <t>Day to Check as DateCode or Date</t>
  </si>
  <si>
    <t>Control Vars</t>
  </si>
  <si>
    <t xml:space="preserve">Name </t>
  </si>
  <si>
    <t>Type</t>
  </si>
  <si>
    <t>Description</t>
  </si>
  <si>
    <t>Single</t>
  </si>
  <si>
    <t>cDay</t>
  </si>
  <si>
    <t>Weekend</t>
  </si>
  <si>
    <t>el_flag</t>
  </si>
  <si>
    <t>day_flag</t>
  </si>
  <si>
    <t>cwk_flag</t>
  </si>
  <si>
    <t>System Calibration Data</t>
  </si>
  <si>
    <t>Screen H</t>
  </si>
  <si>
    <t>Screen W</t>
  </si>
  <si>
    <t>Form Offset Values</t>
  </si>
  <si>
    <t>Speed</t>
  </si>
  <si>
    <t>Speed Offset</t>
  </si>
  <si>
    <t>Debug Flags</t>
  </si>
  <si>
    <t>Debug Mode</t>
  </si>
  <si>
    <t>Scheduler Comments</t>
  </si>
  <si>
    <t>EE Comments</t>
  </si>
  <si>
    <t>Scriber Comments</t>
  </si>
  <si>
    <t>Main Comments</t>
  </si>
  <si>
    <t>Leap Year</t>
  </si>
  <si>
    <t>Tote Sort Scheduler v 0.9.6</t>
  </si>
  <si>
    <t>randkey</t>
  </si>
  <si>
    <t>AppVis</t>
  </si>
  <si>
    <t>NO SORT</t>
  </si>
  <si>
    <t>1</t>
  </si>
  <si>
    <t>EE EMAIL</t>
  </si>
  <si>
    <t>jhazelip@ups.com</t>
  </si>
  <si>
    <t>rkhodor@ups.com</t>
  </si>
  <si>
    <t>conorking@ups.com</t>
  </si>
  <si>
    <t>jladrillono@ups.com</t>
  </si>
  <si>
    <t>tnetherton@ups.com</t>
  </si>
  <si>
    <t>apack@ups.com</t>
  </si>
  <si>
    <t>jsipes@ups.com</t>
  </si>
  <si>
    <t>lsotoolvey@ups.com</t>
  </si>
  <si>
    <t>lthomas2@ups.com</t>
  </si>
  <si>
    <t>twthompson@ups.com</t>
  </si>
  <si>
    <t>thobbs@ups.com</t>
  </si>
  <si>
    <t>gamante@ups.com</t>
  </si>
  <si>
    <t>jlusky@ups.com</t>
  </si>
  <si>
    <t>KSR2HVZ@ups.com</t>
  </si>
  <si>
    <t>AOY1QPP@ups.com</t>
  </si>
  <si>
    <t>9</t>
  </si>
  <si>
    <t>Thurs</t>
  </si>
  <si>
    <t>Jan</t>
  </si>
  <si>
    <t>31 - Open</t>
  </si>
  <si>
    <t>1 - Thomas</t>
  </si>
  <si>
    <t>2 - Lusky</t>
  </si>
  <si>
    <t>3 - Keown</t>
  </si>
  <si>
    <t>4 - Sipes</t>
  </si>
  <si>
    <t>7 - Childers</t>
  </si>
  <si>
    <t>8 - Thompson</t>
  </si>
  <si>
    <t>9 - Soto Olvey</t>
  </si>
  <si>
    <t>10 - Hobbs</t>
  </si>
  <si>
    <t>11 - Smiley</t>
  </si>
  <si>
    <t>14 - Pack</t>
  </si>
  <si>
    <t>15 - Amante</t>
  </si>
  <si>
    <t>16 - King</t>
  </si>
  <si>
    <t>17 - Hazelip</t>
  </si>
  <si>
    <t>18 - Netherton</t>
  </si>
  <si>
    <t>21 - Walton</t>
  </si>
  <si>
    <t>22 - Ladrillono</t>
  </si>
  <si>
    <t>23 - Hazelip</t>
  </si>
  <si>
    <t>24 - Lusky</t>
  </si>
  <si>
    <t>25 - Hobbs</t>
  </si>
  <si>
    <t>28 - Sipes</t>
  </si>
  <si>
    <t>29 - Soto Olvey</t>
  </si>
  <si>
    <t>30 - Pack</t>
  </si>
  <si>
    <t>31 - King</t>
  </si>
  <si>
    <t>Feb</t>
  </si>
  <si>
    <t>5 - Dan Childers</t>
  </si>
  <si>
    <t>7 - John Lusky</t>
  </si>
  <si>
    <t>8 - Zo Smiley</t>
  </si>
  <si>
    <t>14 - John Sipes</t>
  </si>
  <si>
    <t>25 - Angela Walton</t>
  </si>
  <si>
    <t>26 - John Lusky</t>
  </si>
  <si>
    <t>Mar</t>
  </si>
  <si>
    <t>Apr</t>
  </si>
  <si>
    <t>Aug</t>
  </si>
  <si>
    <t>Nov</t>
  </si>
  <si>
    <t>Dec</t>
  </si>
  <si>
    <t>Week Number</t>
  </si>
  <si>
    <t>Start Day Number</t>
  </si>
  <si>
    <t>26 - No Match Found</t>
  </si>
  <si>
    <t>28 - Jonathan Ladrillono</t>
  </si>
  <si>
    <t>13 - Alex Pack</t>
  </si>
  <si>
    <t>1 - Troy Netherton</t>
  </si>
  <si>
    <t>15 - Ramzi Khodor</t>
  </si>
  <si>
    <t>27 - Conor King</t>
  </si>
  <si>
    <t>11 - Lisa Thomas</t>
  </si>
  <si>
    <t>12 - Brittany Keown</t>
  </si>
  <si>
    <t>4 - Jonathan Ladrillono</t>
  </si>
  <si>
    <t>6 - Joe Hazelip</t>
  </si>
  <si>
    <t>18 - Tyler Hobbs</t>
  </si>
  <si>
    <t>20 - Lisa Soto Olvey</t>
  </si>
  <si>
    <t>21 - Glen Amante</t>
  </si>
  <si>
    <t>22 - Conor King</t>
  </si>
  <si>
    <t>Moriah Ladd</t>
  </si>
  <si>
    <t>HHT3HPN@ups.com</t>
  </si>
  <si>
    <t>Nathaniel Sankey</t>
  </si>
  <si>
    <t>Lisa SotoOlvey</t>
  </si>
  <si>
    <t>2 - Pack</t>
  </si>
  <si>
    <t>3 - Childers</t>
  </si>
  <si>
    <t>7 - Ladrillono</t>
  </si>
  <si>
    <t>8 - Lusky</t>
  </si>
  <si>
    <t>9 - Ladd</t>
  </si>
  <si>
    <t>10 - Khodor</t>
  </si>
  <si>
    <t>13 - Thomas</t>
  </si>
  <si>
    <t>14 - King</t>
  </si>
  <si>
    <t>16 - Netherton</t>
  </si>
  <si>
    <t>17 - Smiley</t>
  </si>
  <si>
    <t>21 - Thompson</t>
  </si>
  <si>
    <t>22 - SotoOlvey</t>
  </si>
  <si>
    <t>23 - Hobbs</t>
  </si>
  <si>
    <t>27 - King</t>
  </si>
  <si>
    <t>28 - Ladrillono</t>
  </si>
  <si>
    <t>29 - Hazelip</t>
  </si>
  <si>
    <t>30 - Lusky</t>
  </si>
  <si>
    <t>VQD9HSF@ups.com</t>
  </si>
  <si>
    <t>1 - Hazelip</t>
  </si>
  <si>
    <t>24 - Sipes</t>
  </si>
  <si>
    <t>6 - Sipes</t>
  </si>
  <si>
    <t>20 - Sankey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</si>
</sst>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-yy;@"/>
  </numFmts>
  <fonts count="12" x14ac:knownFonts="1"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8"/>
      <color rgb="FFFF0000"/>
      <name val="Calibri"/>
      <family val="2"/>
      <scheme val="minor"/>
    </font>
    <font>
      <sz val="18"/>
      <color theme="1" tint="4.9989318521683403E-2"/>
      <name val="Calibri"/>
      <family val="2"/>
      <scheme val="minor"/>
    </font>
    <font>
      <u/>
      <sz val="18"/>
      <color theme="1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8"/>
      <color theme="1"/>
      <name val="Courier New"/>
      <family val="3"/>
    </font>
    <font>
      <sz val="20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0" fontId="8" fillId="0" borderId="0"/>
  </cellStyleXfs>
  <cellXfs count="128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0" fillId="0" borderId="0" xfId="0" applyAlignment="1">
      <alignment shrinkToFit="1"/>
    </xf>
    <xf numFmtId="0" fontId="0" fillId="4" borderId="22" xfId="0" applyNumberFormat="1" applyFill="1" applyBorder="1" applyAlignment="1">
      <alignment horizontal="center" shrinkToFit="1"/>
    </xf>
    <xf numFmtId="0" fontId="0" fillId="4" borderId="24" xfId="0" applyNumberFormat="1" applyFill="1" applyBorder="1" applyAlignment="1">
      <alignment horizontal="center" shrinkToFit="1"/>
    </xf>
    <xf numFmtId="0" fontId="0" fillId="4" borderId="32" xfId="0" applyFill="1" applyBorder="1" applyAlignment="1">
      <alignment horizontal="center" shrinkToFit="1"/>
    </xf>
    <xf numFmtId="0" fontId="0" fillId="4" borderId="37" xfId="0" applyFill="1" applyBorder="1" applyAlignment="1">
      <alignment horizontal="center" shrinkToFit="1"/>
    </xf>
    <xf numFmtId="0" fontId="0" fillId="4" borderId="33" xfId="0" applyFill="1" applyBorder="1" applyAlignment="1">
      <alignment horizontal="center" shrinkToFit="1"/>
    </xf>
    <xf numFmtId="0" fontId="0" fillId="3" borderId="22" xfId="0" applyNumberFormat="1" applyFill="1" applyBorder="1" applyAlignment="1">
      <alignment horizontal="center" shrinkToFit="1"/>
    </xf>
    <xf numFmtId="0" fontId="0" fillId="3" borderId="24" xfId="0" applyFill="1" applyBorder="1" applyAlignment="1">
      <alignment horizontal="center" shrinkToFit="1"/>
    </xf>
    <xf numFmtId="0" fontId="0" fillId="6" borderId="12" xfId="0" applyFill="1" applyBorder="1" applyAlignment="1">
      <alignment shrinkToFit="1"/>
    </xf>
    <xf numFmtId="0" fontId="0" fillId="6" borderId="35" xfId="0" applyFill="1" applyBorder="1" applyAlignment="1">
      <alignment horizontal="center" shrinkToFit="1"/>
    </xf>
    <xf numFmtId="0" fontId="0" fillId="6" borderId="8" xfId="0" applyFill="1" applyBorder="1" applyAlignment="1">
      <alignment shrinkToFit="1"/>
    </xf>
    <xf numFmtId="0" fontId="0" fillId="6" borderId="25" xfId="0" applyFill="1" applyBorder="1" applyAlignment="1">
      <alignment horizontal="center" shrinkToFit="1"/>
    </xf>
    <xf numFmtId="0" fontId="0" fillId="6" borderId="31" xfId="0" applyFill="1" applyBorder="1" applyAlignment="1">
      <alignment shrinkToFit="1"/>
    </xf>
    <xf numFmtId="0" fontId="0" fillId="6" borderId="36" xfId="0" applyFill="1" applyBorder="1" applyAlignment="1">
      <alignment horizontal="center" shrinkToFit="1"/>
    </xf>
    <xf numFmtId="0" fontId="0" fillId="6" borderId="22" xfId="0" applyFill="1" applyBorder="1" applyAlignment="1">
      <alignment horizontal="center" shrinkToFit="1"/>
    </xf>
    <xf numFmtId="0" fontId="0" fillId="6" borderId="38" xfId="0" applyFill="1" applyBorder="1" applyAlignment="1">
      <alignment horizontal="center" shrinkToFit="1"/>
    </xf>
    <xf numFmtId="0" fontId="0" fillId="7" borderId="22" xfId="0" applyFill="1" applyBorder="1" applyAlignment="1">
      <alignment shrinkToFit="1"/>
    </xf>
    <xf numFmtId="0" fontId="0" fillId="7" borderId="23" xfId="0" applyFont="1" applyFill="1" applyBorder="1" applyAlignment="1">
      <alignment shrinkToFit="1"/>
    </xf>
    <xf numFmtId="0" fontId="0" fillId="7" borderId="22" xfId="0" applyFont="1" applyFill="1" applyBorder="1" applyAlignment="1">
      <alignment shrinkToFit="1"/>
    </xf>
    <xf numFmtId="0" fontId="0" fillId="0" borderId="0" xfId="0" applyFill="1" applyAlignment="1">
      <alignment shrinkToFit="1"/>
    </xf>
    <xf numFmtId="0" fontId="0" fillId="8" borderId="0" xfId="0" applyFill="1"/>
    <xf numFmtId="0" fontId="0" fillId="0" borderId="22" xfId="0" applyBorder="1" applyAlignment="1">
      <alignment horizontal="center" shrinkToFit="1"/>
    </xf>
    <xf numFmtId="2" fontId="0" fillId="0" borderId="0" xfId="0" applyNumberFormat="1" applyAlignment="1">
      <alignment shrinkToFit="1"/>
    </xf>
    <xf numFmtId="0" fontId="0" fillId="0" borderId="23" xfId="0" applyBorder="1" applyAlignment="1">
      <alignment shrinkToFit="1"/>
    </xf>
    <xf numFmtId="0" fontId="0" fillId="0" borderId="0" xfId="0" applyNumberFormat="1" applyAlignment="1">
      <alignment horizontal="center" shrinkToFit="1"/>
    </xf>
    <xf numFmtId="0" fontId="0" fillId="7" borderId="23" xfId="0" applyFill="1" applyBorder="1" applyAlignment="1">
      <alignment horizontal="center" shrinkToFit="1"/>
    </xf>
    <xf numFmtId="0" fontId="0" fillId="4" borderId="22" xfId="0" applyFill="1" applyBorder="1" applyAlignment="1">
      <alignment horizontal="center" shrinkToFit="1"/>
    </xf>
    <xf numFmtId="14" fontId="0" fillId="4" borderId="24" xfId="0" applyNumberFormat="1" applyFill="1" applyBorder="1" applyAlignment="1">
      <alignment horizontal="center" shrinkToFit="1"/>
    </xf>
    <xf numFmtId="0" fontId="0" fillId="0" borderId="0" xfId="0" applyBorder="1" applyAlignment="1">
      <alignment horizontal="center" shrinkToFit="1"/>
    </xf>
    <xf numFmtId="0" fontId="0" fillId="0" borderId="41" xfId="0" applyBorder="1" applyAlignment="1">
      <alignment horizontal="center" shrinkToFit="1"/>
    </xf>
    <xf numFmtId="0" fontId="0" fillId="0" borderId="42" xfId="0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9" borderId="0" xfId="0" applyFill="1"/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0" fontId="1" fillId="0" borderId="0" xfId="0" applyFont="1" applyBorder="1"/>
    <xf numFmtId="0" fontId="3" fillId="5" borderId="4" xfId="0" applyFont="1" applyFill="1" applyBorder="1" applyAlignment="1">
      <alignment vertical="center"/>
    </xf>
    <xf numFmtId="0" fontId="3" fillId="5" borderId="5" xfId="0" applyFont="1" applyFill="1" applyBorder="1" applyAlignment="1">
      <alignment vertical="center"/>
    </xf>
    <xf numFmtId="0" fontId="3" fillId="5" borderId="29" xfId="0" applyFont="1" applyFill="1" applyBorder="1" applyAlignment="1">
      <alignment vertical="center"/>
    </xf>
    <xf numFmtId="0" fontId="3" fillId="5" borderId="30" xfId="0" applyFont="1" applyFill="1" applyBorder="1" applyAlignment="1">
      <alignment vertical="center"/>
    </xf>
    <xf numFmtId="14" fontId="0" fillId="0" borderId="0" xfId="0" applyNumberFormat="1" applyFill="1" applyBorder="1" applyAlignment="1">
      <alignment horizontal="center" shrinkToFit="1"/>
    </xf>
    <xf numFmtId="0" fontId="0" fillId="0" borderId="1" xfId="0" applyBorder="1" applyAlignment="1">
      <alignment shrinkToFit="1"/>
    </xf>
    <xf numFmtId="0" fontId="0" fillId="0" borderId="13" xfId="0" applyBorder="1" applyAlignment="1">
      <alignment shrinkToFit="1"/>
    </xf>
    <xf numFmtId="0" fontId="0" fillId="0" borderId="0" xfId="0" applyFill="1"/>
    <xf numFmtId="0" fontId="0" fillId="12" borderId="0" xfId="0" applyFill="1"/>
    <xf numFmtId="0" fontId="1" fillId="0" borderId="0" xfId="0" applyFont="1" applyFill="1" applyBorder="1" applyAlignment="1">
      <alignment horizontal="center" vertical="center"/>
    </xf>
    <xf numFmtId="0" fontId="7" fillId="0" borderId="0" xfId="1" applyFill="1" applyBorder="1"/>
    <xf numFmtId="0" fontId="8" fillId="0" borderId="0" xfId="2"/>
    <xf numFmtId="0" fontId="9" fillId="0" borderId="1" xfId="2" applyFont="1" applyBorder="1" applyAlignment="1">
      <alignment horizontal="center" vertical="center"/>
    </xf>
    <xf numFmtId="0" fontId="8" fillId="0" borderId="1" xfId="2" applyBorder="1" applyAlignment="1">
      <alignment horizontal="center" vertical="center"/>
    </xf>
    <xf numFmtId="0" fontId="8" fillId="0" borderId="0" xfId="2" applyAlignment="1">
      <alignment horizontal="left"/>
    </xf>
    <xf numFmtId="0" fontId="8" fillId="14" borderId="1" xfId="0" applyFont="1" applyFill="1" applyBorder="1" applyAlignment="1">
      <alignment horizontal="center" vertical="center"/>
    </xf>
    <xf numFmtId="0" fontId="8" fillId="0" borderId="13" xfId="2" applyBorder="1" applyAlignment="1">
      <alignment horizontal="center" vertical="center"/>
    </xf>
    <xf numFmtId="1" fontId="0" fillId="4" borderId="24" xfId="0" applyNumberFormat="1" applyFill="1" applyBorder="1" applyAlignment="1">
      <alignment horizontal="center" shrinkToFit="1"/>
    </xf>
    <xf numFmtId="0" fontId="8" fillId="0" borderId="1" xfId="2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7" fillId="0" borderId="0" xfId="1" applyBorder="1"/>
    <xf numFmtId="0" fontId="3" fillId="5" borderId="0" xfId="0" applyFont="1" applyFill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164" fontId="3" fillId="0" borderId="6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13" borderId="8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3" borderId="9" xfId="0" applyFill="1" applyBorder="1" applyAlignment="1">
      <alignment horizontal="center" vertical="center" wrapText="1"/>
    </xf>
    <xf numFmtId="0" fontId="0" fillId="11" borderId="9" xfId="0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0" fontId="0" fillId="11" borderId="13" xfId="0" applyFill="1" applyBorder="1" applyAlignment="1">
      <alignment horizontal="center" vertical="center" wrapText="1"/>
    </xf>
    <xf numFmtId="0" fontId="0" fillId="15" borderId="1" xfId="0" applyFill="1" applyBorder="1" applyAlignment="1">
      <alignment horizontal="center" vertical="center" wrapText="1"/>
    </xf>
    <xf numFmtId="0" fontId="0" fillId="11" borderId="18" xfId="0" applyFill="1" applyBorder="1" applyAlignment="1">
      <alignment horizontal="center" vertical="center" wrapText="1"/>
    </xf>
    <xf numFmtId="0" fontId="0" fillId="11" borderId="19" xfId="0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11" borderId="10" xfId="0" applyFill="1" applyBorder="1" applyAlignment="1">
      <alignment horizontal="center" vertical="center" wrapText="1"/>
    </xf>
    <xf numFmtId="0" fontId="0" fillId="11" borderId="20" xfId="0" applyFill="1" applyBorder="1" applyAlignment="1">
      <alignment horizontal="center" vertical="center" wrapText="1"/>
    </xf>
    <xf numFmtId="0" fontId="0" fillId="11" borderId="21" xfId="0" applyFill="1" applyBorder="1" applyAlignment="1">
      <alignment horizontal="center" vertical="center" wrapText="1"/>
    </xf>
    <xf numFmtId="0" fontId="0" fillId="11" borderId="11" xfId="0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vertical="center" wrapText="1"/>
    </xf>
    <xf numFmtId="0" fontId="0" fillId="7" borderId="15" xfId="0" applyFont="1" applyFill="1" applyBorder="1" applyAlignment="1">
      <alignment horizontal="center" shrinkToFit="1"/>
    </xf>
    <xf numFmtId="0" fontId="0" fillId="7" borderId="34" xfId="0" applyFont="1" applyFill="1" applyBorder="1" applyAlignment="1">
      <alignment horizontal="center" shrinkToFit="1"/>
    </xf>
    <xf numFmtId="0" fontId="0" fillId="7" borderId="26" xfId="0" applyFont="1" applyFill="1" applyBorder="1" applyAlignment="1">
      <alignment horizontal="center" shrinkToFit="1"/>
    </xf>
    <xf numFmtId="0" fontId="0" fillId="7" borderId="27" xfId="0" applyFont="1" applyFill="1" applyBorder="1" applyAlignment="1">
      <alignment horizontal="center" shrinkToFit="1"/>
    </xf>
    <xf numFmtId="0" fontId="0" fillId="7" borderId="28" xfId="0" applyFont="1" applyFill="1" applyBorder="1" applyAlignment="1">
      <alignment horizontal="center" shrinkToFit="1"/>
    </xf>
    <xf numFmtId="0" fontId="0" fillId="0" borderId="3" xfId="0" applyFill="1" applyBorder="1" applyAlignment="1">
      <alignment horizontal="center" shrinkToFit="1"/>
    </xf>
    <xf numFmtId="0" fontId="0" fillId="0" borderId="4" xfId="0" applyFill="1" applyBorder="1" applyAlignment="1">
      <alignment horizontal="center" shrinkToFit="1"/>
    </xf>
    <xf numFmtId="0" fontId="0" fillId="0" borderId="5" xfId="0" applyFill="1" applyBorder="1" applyAlignment="1">
      <alignment horizontal="center" shrinkToFit="1"/>
    </xf>
    <xf numFmtId="0" fontId="0" fillId="4" borderId="26" xfId="0" applyFill="1" applyBorder="1" applyAlignment="1">
      <alignment horizontal="center" shrinkToFit="1"/>
    </xf>
    <xf numFmtId="0" fontId="0" fillId="4" borderId="27" xfId="0" applyFill="1" applyBorder="1" applyAlignment="1">
      <alignment horizontal="center" shrinkToFit="1"/>
    </xf>
    <xf numFmtId="0" fontId="0" fillId="4" borderId="28" xfId="0" applyFill="1" applyBorder="1" applyAlignment="1">
      <alignment horizontal="center" shrinkToFit="1"/>
    </xf>
    <xf numFmtId="0" fontId="0" fillId="10" borderId="26" xfId="0" applyFill="1" applyBorder="1" applyAlignment="1">
      <alignment horizontal="center" shrinkToFit="1"/>
    </xf>
    <xf numFmtId="0" fontId="0" fillId="10" borderId="27" xfId="0" applyFill="1" applyBorder="1" applyAlignment="1">
      <alignment horizontal="center" shrinkToFit="1"/>
    </xf>
    <xf numFmtId="0" fontId="0" fillId="10" borderId="28" xfId="0" applyFill="1" applyBorder="1" applyAlignment="1">
      <alignment horizontal="center" shrinkToFit="1"/>
    </xf>
    <xf numFmtId="0" fontId="9" fillId="0" borderId="1" xfId="2" applyFont="1" applyBorder="1" applyAlignment="1">
      <alignment horizontal="center" vertical="center"/>
    </xf>
    <xf numFmtId="0" fontId="9" fillId="0" borderId="17" xfId="2" applyFont="1" applyBorder="1" applyAlignment="1">
      <alignment horizontal="center" vertical="center"/>
    </xf>
    <xf numFmtId="0" fontId="9" fillId="0" borderId="43" xfId="2" applyFont="1" applyBorder="1" applyAlignment="1">
      <alignment horizontal="center" vertical="center"/>
    </xf>
    <xf numFmtId="0" fontId="9" fillId="0" borderId="13" xfId="2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26" xfId="0" applyBorder="1" applyAlignment="1">
      <alignment horizontal="center" shrinkToFit="1"/>
    </xf>
    <xf numFmtId="0" fontId="0" fillId="0" borderId="27" xfId="0" applyBorder="1" applyAlignment="1">
      <alignment horizontal="center" shrinkToFit="1"/>
    </xf>
    <xf numFmtId="0" fontId="0" fillId="0" borderId="28" xfId="0" applyBorder="1" applyAlignment="1">
      <alignment horizontal="center" shrinkToFit="1"/>
    </xf>
    <xf numFmtId="0" fontId="0" fillId="0" borderId="42" xfId="0" applyBorder="1" applyAlignment="1">
      <alignment horizontal="center" vertical="center" shrinkToFit="1"/>
    </xf>
    <xf numFmtId="0" fontId="0" fillId="0" borderId="39" xfId="0" applyBorder="1" applyAlignment="1">
      <alignment horizontal="center" shrinkToFit="1"/>
    </xf>
    <xf numFmtId="0" fontId="0" fillId="0" borderId="40" xfId="0" applyBorder="1" applyAlignment="1">
      <alignment horizontal="center" shrinkToFit="1"/>
    </xf>
    <xf numFmtId="0" fontId="0" fillId="0" borderId="39" xfId="0" applyBorder="1" applyAlignment="1">
      <alignment horizontal="center" vertical="center" shrinkToFit="1"/>
    </xf>
    <xf numFmtId="0" fontId="0" fillId="0" borderId="40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0" fontId="11" fillId="7" borderId="22" xfId="0" applyFont="1" applyFill="1" applyBorder="1" applyAlignment="1">
      <alignment horizontal="center" shrinkToFit="1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638175</xdr:colOff>
          <xdr:row>7</xdr:row>
          <xdr:rowOff>57150</xdr:rowOff>
        </xdr:from>
        <xdr:to>
          <xdr:col>7</xdr:col>
          <xdr:colOff>57150</xdr:colOff>
          <xdr:row>10</xdr:row>
          <xdr:rowOff>247650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App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13</xdr:row>
          <xdr:rowOff>114300</xdr:rowOff>
        </xdr:from>
        <xdr:to>
          <xdr:col>4</xdr:col>
          <xdr:colOff>381000</xdr:colOff>
          <xdr:row>14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App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VQD9HSF@ups.com" TargetMode="External"/><Relationship Id="rId1" Type="http://schemas.openxmlformats.org/officeDocument/2006/relationships/hyperlink" Target="mailto:AOY1QPP@ups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artPage">
    <tabColor theme="4" tint="-0.499984740745262"/>
  </sheetPr>
  <dimension ref="A1:Y18"/>
  <sheetViews>
    <sheetView zoomScale="93" zoomScaleNormal="93" workbookViewId="0">
      <selection activeCell="H5" sqref="H5"/>
    </sheetView>
  </sheetViews>
  <sheetFormatPr defaultRowHeight="23.25" x14ac:dyDescent="0.35"/>
  <cols>
    <col min="1" max="1" width="1.4140625" customWidth="1"/>
    <col min="7" max="7" width="3.75" customWidth="1"/>
    <col min="10" max="10" width="12.33203125" customWidth="1"/>
    <col min="12" max="12" width="13.58203125" customWidth="1"/>
  </cols>
  <sheetData>
    <row r="1" spans="1:25" ht="24" thickBot="1" x14ac:dyDescent="0.4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</row>
    <row r="2" spans="1:25" ht="23.25" customHeight="1" x14ac:dyDescent="0.35">
      <c r="A2" s="72" t="s">
        <v>129</v>
      </c>
      <c r="B2" s="72"/>
      <c r="C2" s="72"/>
      <c r="D2" s="72"/>
      <c r="E2" s="72"/>
      <c r="F2" s="72"/>
      <c r="G2" s="72"/>
      <c r="H2" s="72"/>
      <c r="I2" s="72"/>
      <c r="J2" s="72"/>
      <c r="K2" s="50"/>
      <c r="L2" s="51"/>
      <c r="M2" s="32"/>
    </row>
    <row r="3" spans="1:25" ht="23.65" customHeight="1" thickBot="1" x14ac:dyDescent="0.4">
      <c r="A3" s="72"/>
      <c r="B3" s="72"/>
      <c r="C3" s="72"/>
      <c r="D3" s="72"/>
      <c r="E3" s="72"/>
      <c r="F3" s="72"/>
      <c r="G3" s="72"/>
      <c r="H3" s="72"/>
      <c r="I3" s="72"/>
      <c r="J3" s="72"/>
      <c r="K3" s="52"/>
      <c r="L3" s="53"/>
      <c r="M3" s="32"/>
      <c r="Y3" t="s">
        <v>49</v>
      </c>
    </row>
    <row r="4" spans="1:25" x14ac:dyDescent="0.35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</row>
    <row r="5" spans="1:25" x14ac:dyDescent="0.35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</row>
    <row r="6" spans="1:25" x14ac:dyDescent="0.3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</row>
    <row r="7" spans="1:25" x14ac:dyDescent="0.3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</row>
    <row r="8" spans="1:25" x14ac:dyDescent="0.3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</row>
    <row r="9" spans="1:25" x14ac:dyDescent="0.3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</row>
    <row r="10" spans="1:25" x14ac:dyDescent="0.3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</row>
    <row r="11" spans="1:25" x14ac:dyDescent="0.3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</row>
    <row r="12" spans="1:25" x14ac:dyDescent="0.3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</row>
    <row r="13" spans="1:25" x14ac:dyDescent="0.3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</row>
    <row r="14" spans="1:25" x14ac:dyDescent="0.3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</row>
    <row r="15" spans="1:25" x14ac:dyDescent="0.35">
      <c r="A15" s="45"/>
      <c r="B15" s="45"/>
      <c r="C15" s="45"/>
      <c r="D15" s="45"/>
      <c r="E15" s="45"/>
      <c r="F15" s="45"/>
      <c r="G15" s="45"/>
      <c r="H15" s="45"/>
      <c r="I15" s="45"/>
      <c r="J15" s="45"/>
    </row>
    <row r="16" spans="1:25" x14ac:dyDescent="0.35">
      <c r="A16" s="45"/>
      <c r="B16" s="45"/>
      <c r="C16" s="45"/>
      <c r="D16" s="45"/>
      <c r="E16" s="45"/>
      <c r="F16" s="45"/>
      <c r="G16" s="45"/>
      <c r="H16" s="45"/>
      <c r="I16" s="45"/>
      <c r="J16" s="45"/>
    </row>
    <row r="17" spans="1:10" x14ac:dyDescent="0.35">
      <c r="A17" s="45"/>
      <c r="B17" s="45"/>
      <c r="C17" s="45"/>
      <c r="D17" s="45"/>
      <c r="E17" s="45"/>
      <c r="F17" s="45"/>
      <c r="G17" s="45"/>
      <c r="H17" s="45"/>
      <c r="I17" s="45"/>
      <c r="J17" s="45"/>
    </row>
    <row r="18" spans="1:10" x14ac:dyDescent="0.35">
      <c r="A18" s="45"/>
      <c r="B18" s="45"/>
      <c r="C18" s="45"/>
      <c r="D18" s="45"/>
      <c r="E18" s="45"/>
      <c r="F18" s="45"/>
      <c r="G18" s="45"/>
      <c r="H18" s="45"/>
      <c r="I18" s="45"/>
      <c r="J18" s="45"/>
    </row>
  </sheetData>
  <mergeCells count="1">
    <mergeCell ref="A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unctions.Initialize">
                <anchor moveWithCells="1" sizeWithCells="1">
                  <from>
                    <xdr:col>3</xdr:col>
                    <xdr:colOff>638175</xdr:colOff>
                    <xdr:row>7</xdr:row>
                    <xdr:rowOff>57150</xdr:rowOff>
                  </from>
                  <to>
                    <xdr:col>7</xdr:col>
                    <xdr:colOff>57150</xdr:colOff>
                    <xdr:row>10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endar">
    <tabColor rgb="FFFF0000"/>
    <pageSetUpPr fitToPage="1"/>
  </sheetPr>
  <dimension ref="A1:Q21"/>
  <sheetViews>
    <sheetView zoomScale="126" zoomScaleNormal="126" workbookViewId="0">
      <selection sqref="A1:G2"/>
    </sheetView>
  </sheetViews>
  <sheetFormatPr defaultRowHeight="23.25" x14ac:dyDescent="0.35"/>
  <cols>
    <col min="1" max="7" width="12.9140625" customWidth="1"/>
  </cols>
  <sheetData>
    <row r="1" spans="1:17" ht="23.25" customHeight="1" x14ac:dyDescent="0.35">
      <c r="A1" s="73">
        <f>'App Data'!A4</f>
        <v>43586</v>
      </c>
      <c r="B1" s="74"/>
      <c r="C1" s="74"/>
      <c r="D1" s="74"/>
      <c r="E1" s="74"/>
      <c r="F1" s="74"/>
      <c r="G1" s="75"/>
      <c r="H1" s="57"/>
      <c r="I1" s="57"/>
      <c r="J1" s="57"/>
      <c r="K1" s="57"/>
      <c r="N1" s="57"/>
      <c r="Q1" s="58"/>
    </row>
    <row r="2" spans="1:17" ht="24" customHeight="1" thickBot="1" x14ac:dyDescent="0.4">
      <c r="A2" s="76"/>
      <c r="B2" s="77"/>
      <c r="C2" s="77"/>
      <c r="D2" s="77"/>
      <c r="E2" s="77"/>
      <c r="F2" s="77"/>
      <c r="G2" s="78"/>
      <c r="H2" s="57"/>
      <c r="I2" s="57"/>
      <c r="J2" s="57"/>
      <c r="K2" s="57"/>
      <c r="N2" s="57"/>
    </row>
    <row r="3" spans="1:17" ht="24" thickBot="1" x14ac:dyDescent="0.4">
      <c r="A3" s="2" t="s">
        <v>20</v>
      </c>
      <c r="B3" s="3" t="s">
        <v>21</v>
      </c>
      <c r="C3" s="3" t="s">
        <v>2</v>
      </c>
      <c r="D3" s="3" t="s">
        <v>3</v>
      </c>
      <c r="E3" s="3" t="s">
        <v>4</v>
      </c>
      <c r="F3" s="3" t="s">
        <v>5</v>
      </c>
      <c r="G3" s="4" t="s">
        <v>22</v>
      </c>
      <c r="H3" s="57"/>
      <c r="I3" s="57"/>
      <c r="J3" s="57"/>
      <c r="K3" s="57"/>
      <c r="N3" s="57"/>
    </row>
    <row r="4" spans="1:17" ht="17.25" customHeight="1" x14ac:dyDescent="0.35">
      <c r="A4" s="5"/>
      <c r="B4" s="6"/>
      <c r="C4" s="6"/>
      <c r="D4" s="6">
        <v>1</v>
      </c>
      <c r="E4" s="6">
        <v>2</v>
      </c>
      <c r="F4" s="6">
        <v>3</v>
      </c>
      <c r="G4" s="7">
        <v>4</v>
      </c>
      <c r="H4" s="57"/>
      <c r="I4" s="57"/>
      <c r="J4" s="57"/>
      <c r="K4" s="57"/>
      <c r="N4" s="57"/>
    </row>
    <row r="5" spans="1:17" x14ac:dyDescent="0.35">
      <c r="A5" s="82"/>
      <c r="B5" s="80"/>
      <c r="C5" s="80"/>
      <c r="D5" s="79" t="s">
        <v>16</v>
      </c>
      <c r="E5" s="79" t="s">
        <v>23</v>
      </c>
      <c r="F5" s="79" t="s">
        <v>24</v>
      </c>
      <c r="G5" s="83" t="s">
        <v>132</v>
      </c>
      <c r="H5" s="57"/>
      <c r="I5" s="57"/>
      <c r="J5" s="57"/>
      <c r="K5" s="57"/>
      <c r="N5" s="57"/>
    </row>
    <row r="6" spans="1:17" x14ac:dyDescent="0.35">
      <c r="A6" s="82"/>
      <c r="B6" s="80"/>
      <c r="C6" s="80"/>
      <c r="D6" s="80"/>
      <c r="E6" s="80"/>
      <c r="F6" s="80"/>
      <c r="G6" s="84"/>
      <c r="H6" s="57"/>
      <c r="I6" s="57"/>
      <c r="J6" s="57"/>
      <c r="K6" s="57"/>
      <c r="N6" s="57"/>
    </row>
    <row r="7" spans="1:17" ht="17.25" customHeight="1" x14ac:dyDescent="0.35">
      <c r="A7" s="8">
        <v>5</v>
      </c>
      <c r="B7" s="9">
        <v>6</v>
      </c>
      <c r="C7" s="9">
        <v>7</v>
      </c>
      <c r="D7" s="9">
        <v>8</v>
      </c>
      <c r="E7" s="9">
        <v>9</v>
      </c>
      <c r="F7" s="9">
        <v>10</v>
      </c>
      <c r="G7" s="10">
        <v>11</v>
      </c>
      <c r="H7" s="57"/>
      <c r="I7" s="57"/>
      <c r="J7" s="57"/>
      <c r="K7" s="57"/>
      <c r="N7" s="57"/>
      <c r="Q7" s="58"/>
    </row>
    <row r="8" spans="1:17" x14ac:dyDescent="0.35">
      <c r="A8" s="81" t="s">
        <v>132</v>
      </c>
      <c r="B8" s="79" t="s">
        <v>11</v>
      </c>
      <c r="C8" s="79" t="s">
        <v>18</v>
      </c>
      <c r="D8" s="79" t="s">
        <v>8</v>
      </c>
      <c r="E8" s="79" t="s">
        <v>205</v>
      </c>
      <c r="F8" s="85" t="s">
        <v>7</v>
      </c>
      <c r="G8" s="83" t="s">
        <v>132</v>
      </c>
      <c r="H8" s="57"/>
      <c r="I8" s="57"/>
      <c r="J8" s="57"/>
      <c r="K8" s="57"/>
      <c r="N8" s="57"/>
    </row>
    <row r="9" spans="1:17" x14ac:dyDescent="0.35">
      <c r="A9" s="82"/>
      <c r="B9" s="80"/>
      <c r="C9" s="80"/>
      <c r="D9" s="80"/>
      <c r="E9" s="80"/>
      <c r="F9" s="86"/>
      <c r="G9" s="84"/>
    </row>
    <row r="10" spans="1:17" ht="17.25" customHeight="1" x14ac:dyDescent="0.35">
      <c r="A10" s="8">
        <v>12</v>
      </c>
      <c r="B10" s="9">
        <v>13</v>
      </c>
      <c r="C10" s="9">
        <v>14</v>
      </c>
      <c r="D10" s="9">
        <v>15</v>
      </c>
      <c r="E10" s="9">
        <v>16</v>
      </c>
      <c r="F10" s="9">
        <v>17</v>
      </c>
      <c r="G10" s="10">
        <v>18</v>
      </c>
    </row>
    <row r="11" spans="1:17" x14ac:dyDescent="0.35">
      <c r="A11" s="81" t="s">
        <v>132</v>
      </c>
      <c r="B11" s="79" t="s">
        <v>10</v>
      </c>
      <c r="C11" s="79" t="s">
        <v>15</v>
      </c>
      <c r="D11" s="79" t="s">
        <v>14</v>
      </c>
      <c r="E11" s="79" t="s">
        <v>17</v>
      </c>
      <c r="F11" s="79" t="s">
        <v>9</v>
      </c>
      <c r="G11" s="83" t="s">
        <v>132</v>
      </c>
    </row>
    <row r="12" spans="1:17" x14ac:dyDescent="0.35">
      <c r="A12" s="82"/>
      <c r="B12" s="80"/>
      <c r="C12" s="80"/>
      <c r="D12" s="80"/>
      <c r="E12" s="80"/>
      <c r="F12" s="80"/>
      <c r="G12" s="84"/>
    </row>
    <row r="13" spans="1:17" ht="17.25" customHeight="1" x14ac:dyDescent="0.35">
      <c r="A13" s="8">
        <v>19</v>
      </c>
      <c r="B13" s="9">
        <v>20</v>
      </c>
      <c r="C13" s="9">
        <v>21</v>
      </c>
      <c r="D13" s="9">
        <v>22</v>
      </c>
      <c r="E13" s="9">
        <v>23</v>
      </c>
      <c r="F13" s="9">
        <v>24</v>
      </c>
      <c r="G13" s="10">
        <v>25</v>
      </c>
    </row>
    <row r="14" spans="1:17" ht="23.25" customHeight="1" x14ac:dyDescent="0.35">
      <c r="A14" s="81" t="s">
        <v>132</v>
      </c>
      <c r="B14" s="79" t="s">
        <v>207</v>
      </c>
      <c r="C14" s="79" t="s">
        <v>12</v>
      </c>
      <c r="D14" s="85" t="s">
        <v>208</v>
      </c>
      <c r="E14" s="79" t="s">
        <v>13</v>
      </c>
      <c r="F14" s="88" t="s">
        <v>11</v>
      </c>
      <c r="G14" s="83" t="s">
        <v>132</v>
      </c>
    </row>
    <row r="15" spans="1:17" x14ac:dyDescent="0.35">
      <c r="A15" s="82"/>
      <c r="B15" s="80"/>
      <c r="C15" s="80"/>
      <c r="D15" s="87"/>
      <c r="E15" s="80"/>
      <c r="F15" s="80"/>
      <c r="G15" s="84"/>
    </row>
    <row r="16" spans="1:17" ht="17.25" customHeight="1" x14ac:dyDescent="0.35">
      <c r="A16" s="8">
        <v>26</v>
      </c>
      <c r="B16" s="9">
        <v>27</v>
      </c>
      <c r="C16" s="9">
        <v>28</v>
      </c>
      <c r="D16" s="9">
        <v>29</v>
      </c>
      <c r="E16" s="9">
        <v>30</v>
      </c>
      <c r="F16" s="9">
        <v>31</v>
      </c>
      <c r="G16" s="10"/>
    </row>
    <row r="17" spans="1:7" x14ac:dyDescent="0.35">
      <c r="A17" s="81" t="s">
        <v>132</v>
      </c>
      <c r="B17" s="96" t="s">
        <v>15</v>
      </c>
      <c r="C17" s="79" t="s">
        <v>18</v>
      </c>
      <c r="D17" s="79" t="s">
        <v>16</v>
      </c>
      <c r="E17" s="79" t="s">
        <v>8</v>
      </c>
      <c r="F17" s="79"/>
      <c r="G17" s="84"/>
    </row>
    <row r="18" spans="1:7" x14ac:dyDescent="0.35">
      <c r="A18" s="82"/>
      <c r="B18" s="97"/>
      <c r="C18" s="80"/>
      <c r="D18" s="80"/>
      <c r="E18" s="80"/>
      <c r="F18" s="80"/>
      <c r="G18" s="84"/>
    </row>
    <row r="19" spans="1:7" ht="17.25" customHeight="1" x14ac:dyDescent="0.35">
      <c r="A19" s="8"/>
      <c r="B19" s="11"/>
      <c r="C19" s="9"/>
      <c r="D19" s="9"/>
      <c r="E19" s="9"/>
      <c r="F19" s="9"/>
      <c r="G19" s="10"/>
    </row>
    <row r="20" spans="1:7" x14ac:dyDescent="0.35">
      <c r="A20" s="89"/>
      <c r="B20" s="91"/>
      <c r="C20" s="93"/>
      <c r="D20" s="80"/>
      <c r="E20" s="80"/>
      <c r="F20" s="80"/>
      <c r="G20" s="84"/>
    </row>
    <row r="21" spans="1:7" ht="24" thickBot="1" x14ac:dyDescent="0.4">
      <c r="A21" s="90"/>
      <c r="B21" s="92"/>
      <c r="C21" s="94"/>
      <c r="D21" s="92"/>
      <c r="E21" s="92"/>
      <c r="F21" s="92"/>
      <c r="G21" s="95"/>
    </row>
  </sheetData>
  <mergeCells count="43">
    <mergeCell ref="G17:G18"/>
    <mergeCell ref="A20:A21"/>
    <mergeCell ref="B20:B21"/>
    <mergeCell ref="C20:C21"/>
    <mergeCell ref="D20:D21"/>
    <mergeCell ref="E20:E21"/>
    <mergeCell ref="F20:F21"/>
    <mergeCell ref="G20:G21"/>
    <mergeCell ref="B17:B18"/>
    <mergeCell ref="C17:C18"/>
    <mergeCell ref="D17:D18"/>
    <mergeCell ref="E17:E18"/>
    <mergeCell ref="F17:F18"/>
    <mergeCell ref="A17:A18"/>
    <mergeCell ref="F14:F15"/>
    <mergeCell ref="G14:G15"/>
    <mergeCell ref="B11:B12"/>
    <mergeCell ref="C11:C12"/>
    <mergeCell ref="D11:D12"/>
    <mergeCell ref="E11:E12"/>
    <mergeCell ref="F11:F12"/>
    <mergeCell ref="A14:A15"/>
    <mergeCell ref="B14:B15"/>
    <mergeCell ref="C14:C15"/>
    <mergeCell ref="D14:D15"/>
    <mergeCell ref="E14:E15"/>
    <mergeCell ref="A11:A12"/>
    <mergeCell ref="F5:F6"/>
    <mergeCell ref="G5:G6"/>
    <mergeCell ref="G8:G9"/>
    <mergeCell ref="F8:F9"/>
    <mergeCell ref="E8:E9"/>
    <mergeCell ref="A5:A6"/>
    <mergeCell ref="B5:B6"/>
    <mergeCell ref="C5:C6"/>
    <mergeCell ref="D5:D6"/>
    <mergeCell ref="E5:E6"/>
    <mergeCell ref="G11:G12"/>
    <mergeCell ref="A1:G2"/>
    <mergeCell ref="D8:D9"/>
    <mergeCell ref="C8:C9"/>
    <mergeCell ref="B8:B9"/>
    <mergeCell ref="A8:A9"/>
  </mergeCells>
  <pageMargins left="0.7" right="0.7" top="0.75" bottom="0.75" header="0.3" footer="0.3"/>
  <pageSetup scale="8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PREF">
    <tabColor rgb="FFFFFF00"/>
  </sheetPr>
  <dimension ref="A1:I18"/>
  <sheetViews>
    <sheetView tabSelected="1" zoomScale="89" zoomScaleNormal="89" workbookViewId="0">
      <selection activeCell="A17" sqref="A17"/>
    </sheetView>
  </sheetViews>
  <sheetFormatPr defaultRowHeight="23.25" x14ac:dyDescent="0.35"/>
  <cols>
    <col min="1" max="1" width="18.83203125" style="48" customWidth="1"/>
    <col min="2" max="6" width="7.08203125" style="48" customWidth="1"/>
    <col min="7" max="7" width="8.6640625" style="48"/>
    <col min="8" max="8" width="13.08203125" style="48" customWidth="1"/>
    <col min="9" max="9" width="20.58203125" style="48" customWidth="1"/>
    <col min="10" max="16384" width="8.6640625" style="48"/>
  </cols>
  <sheetData>
    <row r="1" spans="1:9" x14ac:dyDescent="0.35">
      <c r="A1" s="46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47" t="s">
        <v>19</v>
      </c>
      <c r="I1" s="59" t="s">
        <v>134</v>
      </c>
    </row>
    <row r="2" spans="1:9" ht="24" x14ac:dyDescent="0.35">
      <c r="A2" s="49" t="s">
        <v>7</v>
      </c>
      <c r="B2" s="69">
        <v>1</v>
      </c>
      <c r="C2" s="69">
        <v>1</v>
      </c>
      <c r="D2" s="69">
        <v>0</v>
      </c>
      <c r="E2" s="69">
        <v>0</v>
      </c>
      <c r="F2" s="69">
        <v>1</v>
      </c>
      <c r="G2" s="69">
        <v>0</v>
      </c>
      <c r="H2" s="69">
        <v>0</v>
      </c>
      <c r="I2" s="48" t="s">
        <v>148</v>
      </c>
    </row>
    <row r="3" spans="1:9" ht="24" x14ac:dyDescent="0.35">
      <c r="A3" s="49" t="s">
        <v>8</v>
      </c>
      <c r="B3" s="69">
        <v>1</v>
      </c>
      <c r="C3" s="69">
        <v>1</v>
      </c>
      <c r="D3" s="69">
        <v>1</v>
      </c>
      <c r="E3" s="69">
        <v>1</v>
      </c>
      <c r="F3" s="69">
        <v>1</v>
      </c>
      <c r="G3" s="69">
        <v>1</v>
      </c>
      <c r="H3" s="69">
        <v>0</v>
      </c>
      <c r="I3" s="48" t="s">
        <v>147</v>
      </c>
    </row>
    <row r="4" spans="1:9" ht="24.75" customHeight="1" x14ac:dyDescent="0.35">
      <c r="A4" s="49" t="s">
        <v>9</v>
      </c>
      <c r="B4" s="69">
        <v>0</v>
      </c>
      <c r="C4" s="69">
        <v>0</v>
      </c>
      <c r="D4" s="69">
        <v>0</v>
      </c>
      <c r="E4" s="69">
        <v>0</v>
      </c>
      <c r="F4" s="69">
        <v>1</v>
      </c>
      <c r="G4" s="69">
        <v>0</v>
      </c>
      <c r="H4" s="69">
        <v>0</v>
      </c>
      <c r="I4" s="60" t="s">
        <v>149</v>
      </c>
    </row>
    <row r="5" spans="1:9" ht="24.75" customHeight="1" x14ac:dyDescent="0.35">
      <c r="A5" s="49" t="s">
        <v>10</v>
      </c>
      <c r="B5" s="69">
        <v>1</v>
      </c>
      <c r="C5" s="69">
        <v>1</v>
      </c>
      <c r="D5" s="69">
        <v>1</v>
      </c>
      <c r="E5" s="69">
        <v>1</v>
      </c>
      <c r="F5" s="69">
        <v>1</v>
      </c>
      <c r="G5" s="69">
        <v>1</v>
      </c>
      <c r="H5" s="69">
        <v>1</v>
      </c>
      <c r="I5" s="48" t="s">
        <v>143</v>
      </c>
    </row>
    <row r="6" spans="1:9" ht="24.75" customHeight="1" x14ac:dyDescent="0.35">
      <c r="A6" s="49" t="s">
        <v>11</v>
      </c>
      <c r="B6" s="69">
        <v>1</v>
      </c>
      <c r="C6" s="69">
        <v>1</v>
      </c>
      <c r="D6" s="69">
        <v>0</v>
      </c>
      <c r="E6" s="69">
        <v>1</v>
      </c>
      <c r="F6" s="69">
        <v>1</v>
      </c>
      <c r="G6" s="69">
        <v>1</v>
      </c>
      <c r="H6" s="69">
        <v>0</v>
      </c>
      <c r="I6" s="48" t="s">
        <v>141</v>
      </c>
    </row>
    <row r="7" spans="1:9" ht="24" x14ac:dyDescent="0.35">
      <c r="A7" s="49" t="s">
        <v>12</v>
      </c>
      <c r="B7" s="69">
        <v>1</v>
      </c>
      <c r="C7" s="69">
        <v>1</v>
      </c>
      <c r="D7" s="69">
        <v>1</v>
      </c>
      <c r="E7" s="69">
        <v>1</v>
      </c>
      <c r="F7" s="69">
        <v>0</v>
      </c>
      <c r="G7" s="69">
        <v>0</v>
      </c>
      <c r="H7" s="69">
        <v>0</v>
      </c>
      <c r="I7" s="48" t="s">
        <v>144</v>
      </c>
    </row>
    <row r="8" spans="1:9" ht="24" x14ac:dyDescent="0.35">
      <c r="A8" s="49" t="s">
        <v>208</v>
      </c>
      <c r="B8" s="69">
        <v>0</v>
      </c>
      <c r="C8" s="69">
        <v>1</v>
      </c>
      <c r="D8" s="69">
        <v>1</v>
      </c>
      <c r="E8" s="69">
        <v>1</v>
      </c>
      <c r="F8" s="69">
        <v>0</v>
      </c>
      <c r="G8" s="69">
        <v>1</v>
      </c>
      <c r="H8" s="69">
        <v>0</v>
      </c>
      <c r="I8" s="48" t="s">
        <v>142</v>
      </c>
    </row>
    <row r="9" spans="1:9" ht="24" x14ac:dyDescent="0.35">
      <c r="A9" s="49" t="s">
        <v>13</v>
      </c>
      <c r="B9" s="69">
        <v>1</v>
      </c>
      <c r="C9" s="69">
        <v>1</v>
      </c>
      <c r="D9" s="69">
        <v>0</v>
      </c>
      <c r="E9" s="69">
        <v>1</v>
      </c>
      <c r="F9" s="69">
        <v>1</v>
      </c>
      <c r="G9" s="69">
        <v>1</v>
      </c>
      <c r="H9" s="69">
        <v>0</v>
      </c>
      <c r="I9" s="48" t="s">
        <v>145</v>
      </c>
    </row>
    <row r="10" spans="1:9" ht="24" x14ac:dyDescent="0.35">
      <c r="A10" s="49" t="s">
        <v>23</v>
      </c>
      <c r="B10" s="69">
        <v>1</v>
      </c>
      <c r="C10" s="69">
        <v>1</v>
      </c>
      <c r="D10" s="69">
        <v>1</v>
      </c>
      <c r="E10" s="69">
        <v>1</v>
      </c>
      <c r="F10" s="69">
        <v>1</v>
      </c>
      <c r="G10" s="69">
        <v>1</v>
      </c>
      <c r="H10" s="69">
        <v>0</v>
      </c>
      <c r="I10" s="48" t="s">
        <v>140</v>
      </c>
    </row>
    <row r="11" spans="1:9" ht="24" x14ac:dyDescent="0.35">
      <c r="A11" s="49" t="s">
        <v>14</v>
      </c>
      <c r="B11" s="69">
        <v>0</v>
      </c>
      <c r="C11" s="69">
        <v>1</v>
      </c>
      <c r="D11" s="69">
        <v>1</v>
      </c>
      <c r="E11" s="69">
        <v>1</v>
      </c>
      <c r="F11" s="69">
        <v>0</v>
      </c>
      <c r="G11" s="69">
        <v>0</v>
      </c>
      <c r="H11" s="69">
        <v>0</v>
      </c>
      <c r="I11" s="48" t="s">
        <v>146</v>
      </c>
    </row>
    <row r="12" spans="1:9" ht="24" x14ac:dyDescent="0.35">
      <c r="A12" s="49" t="s">
        <v>15</v>
      </c>
      <c r="B12" s="69">
        <v>1</v>
      </c>
      <c r="C12" s="69">
        <v>1</v>
      </c>
      <c r="D12" s="69">
        <v>1</v>
      </c>
      <c r="E12" s="69">
        <v>1</v>
      </c>
      <c r="F12" s="69">
        <v>1</v>
      </c>
      <c r="G12" s="69">
        <v>1</v>
      </c>
      <c r="H12" s="69">
        <v>0</v>
      </c>
      <c r="I12" s="48" t="s">
        <v>137</v>
      </c>
    </row>
    <row r="13" spans="1:9" ht="24" x14ac:dyDescent="0.35">
      <c r="A13" s="49" t="s">
        <v>16</v>
      </c>
      <c r="B13" s="69">
        <v>1</v>
      </c>
      <c r="C13" s="69">
        <v>1</v>
      </c>
      <c r="D13" s="69">
        <v>1</v>
      </c>
      <c r="E13" s="69">
        <v>1</v>
      </c>
      <c r="F13" s="69">
        <v>1</v>
      </c>
      <c r="G13" s="69">
        <v>1</v>
      </c>
      <c r="H13" s="69">
        <v>0</v>
      </c>
      <c r="I13" s="48" t="s">
        <v>135</v>
      </c>
    </row>
    <row r="14" spans="1:9" ht="24" x14ac:dyDescent="0.35">
      <c r="A14" s="49" t="s">
        <v>17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  <c r="G14" s="69">
        <v>1</v>
      </c>
      <c r="H14" s="69">
        <v>0</v>
      </c>
      <c r="I14" s="48" t="s">
        <v>139</v>
      </c>
    </row>
    <row r="15" spans="1:9" ht="24" x14ac:dyDescent="0.35">
      <c r="A15" s="49" t="s">
        <v>24</v>
      </c>
      <c r="B15" s="69">
        <v>0</v>
      </c>
      <c r="C15" s="69">
        <v>0</v>
      </c>
      <c r="D15" s="69">
        <v>0</v>
      </c>
      <c r="E15" s="69">
        <v>0</v>
      </c>
      <c r="F15" s="69">
        <v>1</v>
      </c>
      <c r="G15" s="69">
        <v>0</v>
      </c>
      <c r="H15" s="69">
        <v>0</v>
      </c>
      <c r="I15" s="48" t="s">
        <v>136</v>
      </c>
    </row>
    <row r="16" spans="1:9" ht="24" x14ac:dyDescent="0.35">
      <c r="A16" s="49" t="s">
        <v>18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  <c r="G16" s="69">
        <v>1</v>
      </c>
      <c r="H16" s="69">
        <v>0</v>
      </c>
      <c r="I16" s="48" t="s">
        <v>138</v>
      </c>
    </row>
    <row r="17" spans="1:9" ht="24" x14ac:dyDescent="0.35">
      <c r="A17" s="49" t="s">
        <v>205</v>
      </c>
      <c r="B17" s="70">
        <v>1</v>
      </c>
      <c r="C17" s="46">
        <v>1</v>
      </c>
      <c r="D17" s="46">
        <v>1</v>
      </c>
      <c r="E17" s="46">
        <v>1</v>
      </c>
      <c r="F17" s="46">
        <v>0</v>
      </c>
      <c r="G17" s="46">
        <v>0</v>
      </c>
      <c r="H17" s="46">
        <v>0</v>
      </c>
      <c r="I17" s="48" t="s">
        <v>206</v>
      </c>
    </row>
    <row r="18" spans="1:9" ht="24" x14ac:dyDescent="0.35">
      <c r="A18" s="49" t="s">
        <v>207</v>
      </c>
      <c r="B18" s="70">
        <v>1</v>
      </c>
      <c r="C18" s="46">
        <v>0</v>
      </c>
      <c r="D18" s="46">
        <v>1</v>
      </c>
      <c r="E18" s="46">
        <v>0</v>
      </c>
      <c r="F18" s="46">
        <v>0</v>
      </c>
      <c r="G18" s="46">
        <v>0</v>
      </c>
      <c r="H18" s="46">
        <v>0</v>
      </c>
      <c r="I18" s="71" t="s">
        <v>226</v>
      </c>
    </row>
  </sheetData>
  <hyperlinks>
    <hyperlink ref="I4" r:id="rId1"/>
    <hyperlink ref="I18" r:id="rId2"/>
  </hyperlinks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pp_Data">
    <tabColor theme="9" tint="-0.249977111117893"/>
  </sheetPr>
  <dimension ref="A1:I21"/>
  <sheetViews>
    <sheetView workbookViewId="0">
      <selection activeCell="A9" sqref="A9"/>
    </sheetView>
  </sheetViews>
  <sheetFormatPr defaultRowHeight="23.25" x14ac:dyDescent="0.35"/>
  <cols>
    <col min="1" max="1" width="9.4140625" style="12" customWidth="1"/>
    <col min="2" max="4" width="8.6640625" style="12"/>
    <col min="5" max="5" width="10.4140625" style="12" customWidth="1"/>
    <col min="6" max="6" width="8.6640625" style="12"/>
    <col min="7" max="7" width="8.6640625" style="12" customWidth="1"/>
    <col min="8" max="16384" width="8.6640625" style="12"/>
  </cols>
  <sheetData>
    <row r="1" spans="1:9" ht="27" thickBot="1" x14ac:dyDescent="0.45">
      <c r="A1" s="29" t="s">
        <v>25</v>
      </c>
      <c r="B1" s="98" t="s">
        <v>26</v>
      </c>
      <c r="C1" s="99"/>
      <c r="D1" s="30" t="s">
        <v>30</v>
      </c>
      <c r="E1" s="127" t="s">
        <v>42</v>
      </c>
      <c r="F1" s="100" t="s">
        <v>43</v>
      </c>
      <c r="G1" s="101"/>
      <c r="H1" s="101"/>
      <c r="I1" s="102"/>
    </row>
    <row r="2" spans="1:9" ht="24" thickBot="1" x14ac:dyDescent="0.4">
      <c r="A2" s="18">
        <f ca="1">TODAY()</f>
        <v>43591</v>
      </c>
      <c r="B2" s="20" t="s">
        <v>31</v>
      </c>
      <c r="C2" s="21">
        <v>31</v>
      </c>
      <c r="D2" s="15">
        <v>0</v>
      </c>
      <c r="E2" s="26">
        <v>0</v>
      </c>
      <c r="F2" s="13" t="s">
        <v>44</v>
      </c>
      <c r="G2" s="13" t="s">
        <v>45</v>
      </c>
      <c r="H2" s="13" t="s">
        <v>133</v>
      </c>
      <c r="I2" s="13" t="s">
        <v>150</v>
      </c>
    </row>
    <row r="3" spans="1:9" ht="24" thickBot="1" x14ac:dyDescent="0.4">
      <c r="A3" s="28" t="s">
        <v>40</v>
      </c>
      <c r="B3" s="22" t="s">
        <v>32</v>
      </c>
      <c r="C3" s="23">
        <v>28</v>
      </c>
      <c r="D3" s="16">
        <v>0</v>
      </c>
      <c r="E3" s="26">
        <v>1</v>
      </c>
      <c r="F3" s="103" t="s">
        <v>46</v>
      </c>
      <c r="G3" s="104"/>
      <c r="H3" s="104"/>
      <c r="I3" s="105"/>
    </row>
    <row r="4" spans="1:9" ht="24" thickBot="1" x14ac:dyDescent="0.4">
      <c r="A4" s="14">
        <v>43586</v>
      </c>
      <c r="B4" s="22" t="s">
        <v>33</v>
      </c>
      <c r="C4" s="23">
        <v>31</v>
      </c>
      <c r="D4" s="16">
        <v>0</v>
      </c>
      <c r="E4" s="26">
        <v>2</v>
      </c>
      <c r="F4" s="106">
        <f>COUNTA(EPREF!A2:A16)</f>
        <v>15</v>
      </c>
      <c r="G4" s="107"/>
      <c r="H4" s="107"/>
      <c r="I4" s="108"/>
    </row>
    <row r="5" spans="1:9" ht="24" thickBot="1" x14ac:dyDescent="0.4">
      <c r="A5" s="28" t="s">
        <v>41</v>
      </c>
      <c r="B5" s="22" t="s">
        <v>34</v>
      </c>
      <c r="C5" s="23">
        <v>30</v>
      </c>
      <c r="D5" s="16">
        <v>0</v>
      </c>
      <c r="E5" s="26">
        <v>3</v>
      </c>
      <c r="F5" s="33" t="s">
        <v>47</v>
      </c>
      <c r="G5" s="35" t="s">
        <v>48</v>
      </c>
    </row>
    <row r="6" spans="1:9" ht="24" thickBot="1" x14ac:dyDescent="0.4">
      <c r="A6" s="14">
        <v>43616</v>
      </c>
      <c r="B6" s="22" t="s">
        <v>27</v>
      </c>
      <c r="C6" s="23">
        <v>31</v>
      </c>
      <c r="D6" s="16">
        <v>1</v>
      </c>
      <c r="E6" s="26">
        <v>4</v>
      </c>
      <c r="F6" s="38">
        <v>1</v>
      </c>
      <c r="G6" s="13">
        <v>15</v>
      </c>
    </row>
    <row r="7" spans="1:9" ht="21.75" customHeight="1" thickBot="1" x14ac:dyDescent="0.4">
      <c r="A7" s="28" t="s">
        <v>190</v>
      </c>
      <c r="B7" s="22" t="s">
        <v>35</v>
      </c>
      <c r="C7" s="23">
        <v>30</v>
      </c>
      <c r="D7" s="16">
        <v>0</v>
      </c>
      <c r="E7" s="26">
        <v>5</v>
      </c>
    </row>
    <row r="8" spans="1:9" ht="24" thickBot="1" x14ac:dyDescent="0.4">
      <c r="A8" s="19">
        <f>WEEKDAY(Month_Start)</f>
        <v>4</v>
      </c>
      <c r="B8" s="22" t="s">
        <v>36</v>
      </c>
      <c r="C8" s="23">
        <v>31</v>
      </c>
      <c r="D8" s="16">
        <v>0</v>
      </c>
      <c r="E8" s="26">
        <v>6</v>
      </c>
      <c r="F8" s="12" t="str">
        <f>TEXT(MONTH,"MMMM")</f>
        <v>May</v>
      </c>
    </row>
    <row r="9" spans="1:9" ht="24" thickBot="1" x14ac:dyDescent="0.4">
      <c r="A9" s="37" t="s">
        <v>43</v>
      </c>
      <c r="B9" s="22" t="s">
        <v>37</v>
      </c>
      <c r="C9" s="23">
        <v>31</v>
      </c>
      <c r="D9" s="16">
        <v>0</v>
      </c>
      <c r="E9" s="27">
        <v>7</v>
      </c>
      <c r="F9" s="12" t="str">
        <f>TEXT(MONTH,"YYYY")</f>
        <v>2019</v>
      </c>
      <c r="H9" s="31"/>
    </row>
    <row r="10" spans="1:9" ht="24" thickBot="1" x14ac:dyDescent="0.4">
      <c r="A10" s="18" t="str">
        <f>F2&amp;G2&amp;H2&amp;I2</f>
        <v>2019</v>
      </c>
      <c r="B10" s="22" t="s">
        <v>28</v>
      </c>
      <c r="C10" s="23">
        <v>30</v>
      </c>
      <c r="D10" s="16">
        <v>0</v>
      </c>
      <c r="E10" s="26">
        <v>8</v>
      </c>
    </row>
    <row r="11" spans="1:9" ht="24" thickBot="1" x14ac:dyDescent="0.4">
      <c r="A11" s="28" t="s">
        <v>189</v>
      </c>
      <c r="B11" s="22" t="s">
        <v>29</v>
      </c>
      <c r="C11" s="23">
        <v>31</v>
      </c>
      <c r="D11" s="16">
        <v>0</v>
      </c>
      <c r="E11" s="26">
        <v>9</v>
      </c>
      <c r="G11" s="36"/>
    </row>
    <row r="12" spans="1:9" ht="24" thickBot="1" x14ac:dyDescent="0.4">
      <c r="A12" s="67">
        <f>WEEKNUM(Month_Start)</f>
        <v>18</v>
      </c>
      <c r="B12" s="22" t="s">
        <v>38</v>
      </c>
      <c r="C12" s="23">
        <v>30</v>
      </c>
      <c r="D12" s="16">
        <v>0</v>
      </c>
    </row>
    <row r="13" spans="1:9" ht="24" thickBot="1" x14ac:dyDescent="0.4">
      <c r="A13" s="28"/>
      <c r="B13" s="24" t="s">
        <v>39</v>
      </c>
      <c r="C13" s="25">
        <v>31</v>
      </c>
      <c r="D13" s="17">
        <v>0</v>
      </c>
      <c r="G13" s="34"/>
    </row>
    <row r="14" spans="1:9" ht="24" thickBot="1" x14ac:dyDescent="0.4">
      <c r="A14" s="39"/>
      <c r="B14" s="30" t="s">
        <v>128</v>
      </c>
      <c r="C14" s="16">
        <v>1</v>
      </c>
    </row>
    <row r="15" spans="1:9" ht="24" thickBot="1" x14ac:dyDescent="0.4"/>
    <row r="16" spans="1:9" ht="24" thickBot="1" x14ac:dyDescent="0.4">
      <c r="A16" s="109" t="s">
        <v>116</v>
      </c>
      <c r="B16" s="110"/>
      <c r="C16" s="110"/>
      <c r="D16" s="111"/>
      <c r="E16" s="54"/>
      <c r="F16" s="109" t="s">
        <v>122</v>
      </c>
      <c r="G16" s="110"/>
      <c r="H16" s="110"/>
      <c r="I16" s="111"/>
    </row>
    <row r="17" spans="1:9" x14ac:dyDescent="0.35">
      <c r="A17" s="56" t="s">
        <v>117</v>
      </c>
      <c r="B17" s="56"/>
      <c r="C17" s="56"/>
      <c r="D17" s="56"/>
      <c r="F17" s="56" t="s">
        <v>123</v>
      </c>
      <c r="G17" s="56">
        <v>0</v>
      </c>
      <c r="H17" s="56" t="s">
        <v>130</v>
      </c>
      <c r="I17" s="56">
        <v>0</v>
      </c>
    </row>
    <row r="18" spans="1:9" x14ac:dyDescent="0.35">
      <c r="A18" s="55" t="s">
        <v>118</v>
      </c>
      <c r="B18" s="55"/>
      <c r="C18" s="55"/>
      <c r="D18" s="55"/>
      <c r="F18" s="55" t="s">
        <v>126</v>
      </c>
      <c r="G18" s="55">
        <v>0</v>
      </c>
      <c r="H18" s="55" t="s">
        <v>131</v>
      </c>
      <c r="I18" s="55">
        <v>1</v>
      </c>
    </row>
    <row r="19" spans="1:9" x14ac:dyDescent="0.35">
      <c r="A19" s="55" t="s">
        <v>119</v>
      </c>
      <c r="B19" s="55"/>
      <c r="C19" s="55"/>
      <c r="D19" s="55"/>
      <c r="F19" s="55" t="s">
        <v>125</v>
      </c>
      <c r="G19" s="55">
        <v>0</v>
      </c>
      <c r="H19" s="55"/>
      <c r="I19" s="55"/>
    </row>
    <row r="20" spans="1:9" x14ac:dyDescent="0.35">
      <c r="A20" s="55" t="s">
        <v>120</v>
      </c>
      <c r="B20" s="55"/>
      <c r="C20" s="55" t="s">
        <v>121</v>
      </c>
      <c r="D20" s="55"/>
      <c r="F20" s="55" t="s">
        <v>124</v>
      </c>
      <c r="G20" s="55">
        <v>0</v>
      </c>
      <c r="H20" s="55"/>
      <c r="I20" s="55"/>
    </row>
    <row r="21" spans="1:9" x14ac:dyDescent="0.35">
      <c r="A21" s="55"/>
      <c r="B21" s="55"/>
      <c r="C21" s="55"/>
      <c r="D21" s="55"/>
      <c r="F21" s="55" t="s">
        <v>127</v>
      </c>
      <c r="G21" s="55">
        <v>0</v>
      </c>
      <c r="H21" s="55"/>
      <c r="I21" s="55"/>
    </row>
  </sheetData>
  <mergeCells count="6">
    <mergeCell ref="B1:C1"/>
    <mergeCell ref="F1:I1"/>
    <mergeCell ref="F3:I3"/>
    <mergeCell ref="F4:I4"/>
    <mergeCell ref="A16:D16"/>
    <mergeCell ref="F16:I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Functions.Initialize">
                <anchor moveWithCells="1" sizeWithCells="1">
                  <from>
                    <xdr:col>3</xdr:col>
                    <xdr:colOff>190500</xdr:colOff>
                    <xdr:row>13</xdr:row>
                    <xdr:rowOff>114300</xdr:rowOff>
                  </from>
                  <to>
                    <xdr:col>4</xdr:col>
                    <xdr:colOff>381000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E_Log">
    <tabColor rgb="FF002060"/>
  </sheetPr>
  <dimension ref="A1:G55"/>
  <sheetViews>
    <sheetView topLeftCell="A19" zoomScaleNormal="100" workbookViewId="0">
      <selection activeCell="C26" sqref="C26"/>
    </sheetView>
  </sheetViews>
  <sheetFormatPr defaultRowHeight="23.25" x14ac:dyDescent="0.35"/>
  <cols>
    <col min="2" max="2" width="13.4140625" bestFit="1" customWidth="1"/>
    <col min="3" max="3" width="12.4140625" customWidth="1"/>
    <col min="4" max="4" width="13.25" bestFit="1" customWidth="1"/>
    <col min="5" max="5" width="13.08203125" bestFit="1" customWidth="1"/>
    <col min="6" max="6" width="10.58203125" bestFit="1" customWidth="1"/>
    <col min="7" max="7" width="1.83203125" bestFit="1" customWidth="1"/>
  </cols>
  <sheetData>
    <row r="1" spans="1:7" x14ac:dyDescent="0.35">
      <c r="A1" s="61"/>
      <c r="B1" s="62" t="s">
        <v>21</v>
      </c>
      <c r="C1" s="62" t="s">
        <v>2</v>
      </c>
      <c r="D1" s="62" t="s">
        <v>3</v>
      </c>
      <c r="E1" s="62" t="s">
        <v>151</v>
      </c>
      <c r="F1" s="62" t="s">
        <v>5</v>
      </c>
      <c r="G1" s="61"/>
    </row>
    <row r="2" spans="1:7" x14ac:dyDescent="0.35">
      <c r="A2" s="112" t="s">
        <v>152</v>
      </c>
      <c r="B2" s="63" t="s">
        <v>153</v>
      </c>
      <c r="C2" s="63" t="s">
        <v>154</v>
      </c>
      <c r="D2" s="63" t="s">
        <v>155</v>
      </c>
      <c r="E2" s="63" t="s">
        <v>156</v>
      </c>
      <c r="F2" s="63" t="s">
        <v>157</v>
      </c>
      <c r="G2" s="64">
        <v>1</v>
      </c>
    </row>
    <row r="3" spans="1:7" x14ac:dyDescent="0.35">
      <c r="A3" s="112"/>
      <c r="B3" s="63" t="s">
        <v>158</v>
      </c>
      <c r="C3" s="63" t="s">
        <v>159</v>
      </c>
      <c r="D3" s="63" t="s">
        <v>160</v>
      </c>
      <c r="E3" s="63" t="s">
        <v>161</v>
      </c>
      <c r="F3" s="63" t="s">
        <v>162</v>
      </c>
      <c r="G3" s="64">
        <v>2</v>
      </c>
    </row>
    <row r="4" spans="1:7" x14ac:dyDescent="0.35">
      <c r="A4" s="112"/>
      <c r="B4" s="63" t="s">
        <v>163</v>
      </c>
      <c r="C4" s="63" t="s">
        <v>164</v>
      </c>
      <c r="D4" s="63" t="s">
        <v>165</v>
      </c>
      <c r="E4" s="63" t="s">
        <v>166</v>
      </c>
      <c r="F4" s="63" t="s">
        <v>167</v>
      </c>
      <c r="G4" s="64">
        <v>3</v>
      </c>
    </row>
    <row r="5" spans="1:7" x14ac:dyDescent="0.35">
      <c r="A5" s="112"/>
      <c r="B5" s="63" t="s">
        <v>168</v>
      </c>
      <c r="C5" s="63" t="s">
        <v>169</v>
      </c>
      <c r="D5" s="63" t="s">
        <v>170</v>
      </c>
      <c r="E5" s="63" t="s">
        <v>171</v>
      </c>
      <c r="F5" s="63" t="s">
        <v>172</v>
      </c>
      <c r="G5" s="64">
        <v>4</v>
      </c>
    </row>
    <row r="6" spans="1:7" x14ac:dyDescent="0.35">
      <c r="A6" s="112"/>
      <c r="B6" s="63" t="s">
        <v>173</v>
      </c>
      <c r="C6" s="63" t="s">
        <v>174</v>
      </c>
      <c r="D6" s="63" t="s">
        <v>175</v>
      </c>
      <c r="E6" s="63" t="s">
        <v>176</v>
      </c>
      <c r="F6" s="63" t="s">
        <v>194</v>
      </c>
      <c r="G6" s="64">
        <v>5</v>
      </c>
    </row>
    <row r="7" spans="1:7" x14ac:dyDescent="0.35">
      <c r="A7" s="113" t="s">
        <v>177</v>
      </c>
      <c r="B7" s="68" t="s">
        <v>199</v>
      </c>
      <c r="C7" s="68" t="s">
        <v>178</v>
      </c>
      <c r="D7" s="68" t="s">
        <v>200</v>
      </c>
      <c r="E7" s="68" t="s">
        <v>179</v>
      </c>
      <c r="F7" s="68" t="s">
        <v>180</v>
      </c>
      <c r="G7" s="64">
        <v>6</v>
      </c>
    </row>
    <row r="8" spans="1:7" x14ac:dyDescent="0.35">
      <c r="A8" s="114"/>
      <c r="B8" s="68" t="s">
        <v>197</v>
      </c>
      <c r="C8" s="68" t="s">
        <v>198</v>
      </c>
      <c r="D8" s="68" t="s">
        <v>193</v>
      </c>
      <c r="E8" s="68" t="s">
        <v>181</v>
      </c>
      <c r="F8" s="68" t="s">
        <v>195</v>
      </c>
      <c r="G8" s="64">
        <v>7</v>
      </c>
    </row>
    <row r="9" spans="1:7" x14ac:dyDescent="0.35">
      <c r="A9" s="114"/>
      <c r="B9" s="68" t="s">
        <v>201</v>
      </c>
      <c r="C9" s="68" t="s">
        <v>183</v>
      </c>
      <c r="D9" s="68" t="s">
        <v>202</v>
      </c>
      <c r="E9" s="68" t="s">
        <v>203</v>
      </c>
      <c r="F9" s="68" t="s">
        <v>204</v>
      </c>
      <c r="G9" s="64">
        <v>8</v>
      </c>
    </row>
    <row r="10" spans="1:7" x14ac:dyDescent="0.35">
      <c r="A10" s="114"/>
      <c r="B10" s="68" t="s">
        <v>182</v>
      </c>
      <c r="C10" s="68" t="s">
        <v>191</v>
      </c>
      <c r="D10" s="68" t="s">
        <v>196</v>
      </c>
      <c r="E10" s="68" t="s">
        <v>192</v>
      </c>
      <c r="F10" s="68"/>
      <c r="G10" s="64">
        <v>9</v>
      </c>
    </row>
    <row r="11" spans="1:7" x14ac:dyDescent="0.35">
      <c r="A11" s="112" t="s">
        <v>184</v>
      </c>
      <c r="B11" s="68"/>
      <c r="C11" s="68"/>
      <c r="D11" s="68"/>
      <c r="E11" s="68"/>
      <c r="F11" s="68"/>
      <c r="G11" s="64">
        <v>10</v>
      </c>
    </row>
    <row r="12" spans="1:7" x14ac:dyDescent="0.35">
      <c r="A12" s="112"/>
      <c r="B12" s="68"/>
      <c r="C12" s="68"/>
      <c r="D12" s="68"/>
      <c r="E12" s="68"/>
      <c r="F12" s="68"/>
      <c r="G12" s="64">
        <v>11</v>
      </c>
    </row>
    <row r="13" spans="1:7" x14ac:dyDescent="0.35">
      <c r="A13" s="112"/>
      <c r="B13" s="68"/>
      <c r="C13" s="68"/>
      <c r="D13" s="68"/>
      <c r="E13" s="68"/>
      <c r="F13" s="68"/>
      <c r="G13" s="64">
        <v>12</v>
      </c>
    </row>
    <row r="14" spans="1:7" x14ac:dyDescent="0.35">
      <c r="A14" s="112"/>
      <c r="B14" s="63"/>
      <c r="C14" s="63"/>
      <c r="D14" s="63"/>
      <c r="E14" s="63"/>
      <c r="F14" s="63"/>
      <c r="G14" s="64">
        <v>13</v>
      </c>
    </row>
    <row r="15" spans="1:7" x14ac:dyDescent="0.35">
      <c r="A15" s="112" t="s">
        <v>185</v>
      </c>
      <c r="B15" s="63"/>
      <c r="C15" s="63"/>
      <c r="D15" s="63"/>
      <c r="E15" s="63"/>
      <c r="F15" s="63"/>
      <c r="G15" s="64">
        <v>14</v>
      </c>
    </row>
    <row r="16" spans="1:7" x14ac:dyDescent="0.35">
      <c r="A16" s="112"/>
      <c r="B16" s="63"/>
      <c r="C16" s="63"/>
      <c r="D16" s="63"/>
      <c r="E16" s="63"/>
      <c r="F16" s="63"/>
      <c r="G16" s="64">
        <v>15</v>
      </c>
    </row>
    <row r="17" spans="1:7" x14ac:dyDescent="0.35">
      <c r="A17" s="112"/>
      <c r="B17" s="63"/>
      <c r="C17" s="63"/>
      <c r="D17" s="63"/>
      <c r="E17" s="63"/>
      <c r="F17" s="63"/>
      <c r="G17" s="64">
        <v>16</v>
      </c>
    </row>
    <row r="18" spans="1:7" x14ac:dyDescent="0.35">
      <c r="A18" s="112"/>
      <c r="B18" s="63"/>
      <c r="C18" s="63"/>
      <c r="D18" s="63"/>
      <c r="E18" s="63"/>
      <c r="F18" s="63"/>
      <c r="G18" s="64">
        <v>17</v>
      </c>
    </row>
    <row r="19" spans="1:7" x14ac:dyDescent="0.35">
      <c r="A19" s="112"/>
      <c r="B19" s="63"/>
      <c r="C19" s="63"/>
      <c r="D19" s="63"/>
      <c r="E19" s="63"/>
      <c r="F19" s="63"/>
      <c r="G19" s="64">
        <v>18</v>
      </c>
    </row>
    <row r="20" spans="1:7" x14ac:dyDescent="0.35">
      <c r="A20" s="112" t="s">
        <v>27</v>
      </c>
      <c r="B20" s="63"/>
      <c r="C20" s="63"/>
      <c r="D20" s="63" t="s">
        <v>227</v>
      </c>
      <c r="E20" s="63" t="s">
        <v>209</v>
      </c>
      <c r="F20" s="63" t="s">
        <v>210</v>
      </c>
      <c r="G20" s="64">
        <v>19</v>
      </c>
    </row>
    <row r="21" spans="1:7" x14ac:dyDescent="0.35">
      <c r="A21" s="112"/>
      <c r="B21" s="63" t="s">
        <v>229</v>
      </c>
      <c r="C21" s="63" t="s">
        <v>211</v>
      </c>
      <c r="D21" s="63" t="s">
        <v>212</v>
      </c>
      <c r="E21" s="63" t="s">
        <v>213</v>
      </c>
      <c r="F21" s="63" t="s">
        <v>214</v>
      </c>
      <c r="G21" s="64">
        <v>20</v>
      </c>
    </row>
    <row r="22" spans="1:7" x14ac:dyDescent="0.35">
      <c r="A22" s="112"/>
      <c r="B22" s="63" t="s">
        <v>215</v>
      </c>
      <c r="C22" s="63" t="s">
        <v>216</v>
      </c>
      <c r="D22" s="63" t="s">
        <v>164</v>
      </c>
      <c r="E22" s="63" t="s">
        <v>217</v>
      </c>
      <c r="F22" s="63" t="s">
        <v>218</v>
      </c>
      <c r="G22" s="64">
        <v>21</v>
      </c>
    </row>
    <row r="23" spans="1:7" x14ac:dyDescent="0.35">
      <c r="A23" s="112"/>
      <c r="B23" s="63" t="s">
        <v>230</v>
      </c>
      <c r="C23" s="63" t="s">
        <v>219</v>
      </c>
      <c r="D23" s="63" t="s">
        <v>220</v>
      </c>
      <c r="E23" s="63" t="s">
        <v>221</v>
      </c>
      <c r="F23" s="63" t="s">
        <v>228</v>
      </c>
      <c r="G23" s="64">
        <v>22</v>
      </c>
    </row>
    <row r="24" spans="1:7" x14ac:dyDescent="0.35">
      <c r="A24" s="112"/>
      <c r="B24" s="63" t="s">
        <v>222</v>
      </c>
      <c r="C24" s="63" t="s">
        <v>223</v>
      </c>
      <c r="D24" s="63" t="s">
        <v>224</v>
      </c>
      <c r="E24" s="63" t="s">
        <v>225</v>
      </c>
      <c r="F24" s="63"/>
      <c r="G24" s="64">
        <v>23</v>
      </c>
    </row>
    <row r="25" spans="1:7" x14ac:dyDescent="0.35">
      <c r="A25" s="112" t="s">
        <v>35</v>
      </c>
      <c r="B25" s="63"/>
      <c r="C25" s="63"/>
      <c r="D25" s="63"/>
      <c r="E25" s="63"/>
      <c r="F25" s="63"/>
      <c r="G25" s="64">
        <v>24</v>
      </c>
    </row>
    <row r="26" spans="1:7" x14ac:dyDescent="0.35">
      <c r="A26" s="112"/>
      <c r="B26" s="63"/>
      <c r="C26" s="63"/>
      <c r="D26" s="63"/>
      <c r="E26" s="63"/>
      <c r="F26" s="63"/>
      <c r="G26" s="64">
        <v>25</v>
      </c>
    </row>
    <row r="27" spans="1:7" x14ac:dyDescent="0.35">
      <c r="A27" s="112"/>
      <c r="B27" s="63"/>
      <c r="C27" s="63"/>
      <c r="D27" s="63"/>
      <c r="E27" s="63"/>
      <c r="F27" s="63"/>
      <c r="G27" s="64">
        <v>26</v>
      </c>
    </row>
    <row r="28" spans="1:7" x14ac:dyDescent="0.35">
      <c r="A28" s="112"/>
      <c r="B28" s="63"/>
      <c r="C28" s="63"/>
      <c r="D28" s="63"/>
      <c r="E28" s="63"/>
      <c r="F28" s="63"/>
      <c r="G28" s="64">
        <v>27</v>
      </c>
    </row>
    <row r="29" spans="1:7" x14ac:dyDescent="0.35">
      <c r="A29" s="112" t="s">
        <v>36</v>
      </c>
      <c r="B29" s="63"/>
      <c r="C29" s="63"/>
      <c r="D29" s="63"/>
      <c r="E29" s="63"/>
      <c r="F29" s="63"/>
      <c r="G29" s="64">
        <v>28</v>
      </c>
    </row>
    <row r="30" spans="1:7" x14ac:dyDescent="0.35">
      <c r="A30" s="112"/>
      <c r="B30" s="63"/>
      <c r="C30" s="63"/>
      <c r="D30" s="63"/>
      <c r="E30" s="63"/>
      <c r="F30" s="63"/>
      <c r="G30" s="64">
        <v>29</v>
      </c>
    </row>
    <row r="31" spans="1:7" x14ac:dyDescent="0.35">
      <c r="A31" s="112"/>
      <c r="B31" s="63"/>
      <c r="C31" s="63"/>
      <c r="D31" s="63"/>
      <c r="E31" s="63"/>
      <c r="F31" s="63"/>
      <c r="G31" s="64">
        <v>30</v>
      </c>
    </row>
    <row r="32" spans="1:7" x14ac:dyDescent="0.35">
      <c r="A32" s="112"/>
      <c r="B32" s="63"/>
      <c r="C32" s="63"/>
      <c r="D32" s="63"/>
      <c r="E32" s="63"/>
      <c r="F32" s="63"/>
      <c r="G32" s="64">
        <v>31</v>
      </c>
    </row>
    <row r="33" spans="1:7" x14ac:dyDescent="0.35">
      <c r="A33" s="112"/>
      <c r="B33" s="63"/>
      <c r="C33" s="63"/>
      <c r="D33" s="65"/>
      <c r="E33" s="65"/>
      <c r="F33" s="65"/>
      <c r="G33" s="64">
        <v>32</v>
      </c>
    </row>
    <row r="34" spans="1:7" x14ac:dyDescent="0.35">
      <c r="A34" s="113" t="s">
        <v>186</v>
      </c>
      <c r="B34" s="65"/>
      <c r="C34" s="65"/>
      <c r="D34" s="65"/>
      <c r="E34" s="65"/>
      <c r="F34" s="65"/>
      <c r="G34" s="64">
        <v>33</v>
      </c>
    </row>
    <row r="35" spans="1:7" x14ac:dyDescent="0.35">
      <c r="A35" s="114"/>
      <c r="B35" s="65"/>
      <c r="C35" s="65"/>
      <c r="D35" s="65"/>
      <c r="E35" s="65"/>
      <c r="F35" s="65"/>
      <c r="G35" s="64">
        <v>34</v>
      </c>
    </row>
    <row r="36" spans="1:7" x14ac:dyDescent="0.35">
      <c r="A36" s="114"/>
      <c r="B36" s="65"/>
      <c r="C36" s="65"/>
      <c r="D36" s="65"/>
      <c r="E36" s="65"/>
      <c r="F36" s="65"/>
      <c r="G36" s="64">
        <v>35</v>
      </c>
    </row>
    <row r="37" spans="1:7" x14ac:dyDescent="0.35">
      <c r="A37" s="114"/>
      <c r="B37" s="65"/>
      <c r="C37" s="65"/>
      <c r="D37" s="65"/>
      <c r="E37" s="65"/>
      <c r="F37" s="65"/>
      <c r="G37" s="64">
        <v>36</v>
      </c>
    </row>
    <row r="38" spans="1:7" x14ac:dyDescent="0.35">
      <c r="A38" s="112" t="s">
        <v>28</v>
      </c>
      <c r="B38" s="66"/>
      <c r="C38" s="66"/>
      <c r="D38" s="66"/>
      <c r="E38" s="63"/>
      <c r="F38" s="63"/>
      <c r="G38" s="64">
        <v>37</v>
      </c>
    </row>
    <row r="39" spans="1:7" x14ac:dyDescent="0.35">
      <c r="A39" s="112"/>
      <c r="B39" s="63"/>
      <c r="C39" s="63"/>
      <c r="D39" s="63"/>
      <c r="E39" s="63"/>
      <c r="F39" s="63"/>
      <c r="G39" s="64">
        <v>38</v>
      </c>
    </row>
    <row r="40" spans="1:7" x14ac:dyDescent="0.35">
      <c r="A40" s="112"/>
      <c r="B40" s="63"/>
      <c r="C40" s="63"/>
      <c r="D40" s="63"/>
      <c r="E40" s="63"/>
      <c r="F40" s="63"/>
      <c r="G40" s="64">
        <v>39</v>
      </c>
    </row>
    <row r="41" spans="1:7" x14ac:dyDescent="0.35">
      <c r="A41" s="112"/>
      <c r="B41" s="63"/>
      <c r="C41" s="63"/>
      <c r="D41" s="63"/>
      <c r="E41" s="63"/>
      <c r="F41" s="63"/>
      <c r="G41" s="64">
        <v>40</v>
      </c>
    </row>
    <row r="42" spans="1:7" x14ac:dyDescent="0.35">
      <c r="A42" s="113" t="s">
        <v>29</v>
      </c>
      <c r="B42" s="63"/>
      <c r="C42" s="63"/>
      <c r="D42" s="63"/>
      <c r="E42" s="63"/>
      <c r="F42" s="63"/>
      <c r="G42" s="64">
        <v>41</v>
      </c>
    </row>
    <row r="43" spans="1:7" x14ac:dyDescent="0.35">
      <c r="A43" s="114"/>
      <c r="B43" s="63"/>
      <c r="C43" s="63"/>
      <c r="D43" s="63"/>
      <c r="E43" s="63"/>
      <c r="F43" s="63"/>
      <c r="G43" s="64">
        <v>42</v>
      </c>
    </row>
    <row r="44" spans="1:7" x14ac:dyDescent="0.35">
      <c r="A44" s="114"/>
      <c r="B44" s="63"/>
      <c r="C44" s="63"/>
      <c r="D44" s="63"/>
      <c r="E44" s="63"/>
      <c r="F44" s="63"/>
      <c r="G44" s="64">
        <v>43</v>
      </c>
    </row>
    <row r="45" spans="1:7" x14ac:dyDescent="0.35">
      <c r="A45" s="114"/>
      <c r="B45" s="63"/>
      <c r="C45" s="63"/>
      <c r="D45" s="63"/>
      <c r="E45" s="63"/>
      <c r="F45" s="63"/>
      <c r="G45" s="64">
        <v>44</v>
      </c>
    </row>
    <row r="46" spans="1:7" x14ac:dyDescent="0.35">
      <c r="A46" s="115"/>
      <c r="B46" s="63"/>
      <c r="C46" s="63"/>
      <c r="D46" s="63"/>
      <c r="E46" s="63"/>
      <c r="F46" s="63"/>
      <c r="G46" s="64">
        <v>45</v>
      </c>
    </row>
    <row r="47" spans="1:7" x14ac:dyDescent="0.35">
      <c r="A47" s="113" t="s">
        <v>187</v>
      </c>
      <c r="B47" s="63"/>
      <c r="C47" s="63"/>
      <c r="D47" s="63"/>
      <c r="E47" s="63"/>
      <c r="F47" s="63"/>
      <c r="G47" s="64">
        <v>46</v>
      </c>
    </row>
    <row r="48" spans="1:7" x14ac:dyDescent="0.35">
      <c r="A48" s="114"/>
      <c r="B48" s="63"/>
      <c r="C48" s="63"/>
      <c r="D48" s="63"/>
      <c r="E48" s="63"/>
      <c r="F48" s="63"/>
      <c r="G48" s="64">
        <v>47</v>
      </c>
    </row>
    <row r="49" spans="1:7" x14ac:dyDescent="0.35">
      <c r="A49" s="114"/>
      <c r="B49" s="63"/>
      <c r="C49" s="63"/>
      <c r="D49" s="63"/>
      <c r="E49" s="63"/>
      <c r="F49" s="63"/>
      <c r="G49" s="64">
        <v>48</v>
      </c>
    </row>
    <row r="50" spans="1:7" x14ac:dyDescent="0.35">
      <c r="A50" s="114"/>
      <c r="B50" s="63"/>
      <c r="C50" s="63"/>
      <c r="D50" s="63"/>
      <c r="E50" s="63"/>
      <c r="F50" s="63"/>
      <c r="G50" s="64">
        <v>49</v>
      </c>
    </row>
    <row r="51" spans="1:7" x14ac:dyDescent="0.35">
      <c r="A51" s="112" t="s">
        <v>188</v>
      </c>
      <c r="B51" s="63"/>
      <c r="C51" s="63"/>
      <c r="D51" s="63"/>
      <c r="E51" s="63"/>
      <c r="F51" s="63"/>
      <c r="G51" s="64">
        <v>50</v>
      </c>
    </row>
    <row r="52" spans="1:7" x14ac:dyDescent="0.35">
      <c r="A52" s="112"/>
      <c r="B52" s="63"/>
      <c r="C52" s="63"/>
      <c r="D52" s="63"/>
      <c r="E52" s="63"/>
      <c r="F52" s="63"/>
      <c r="G52" s="64">
        <v>51</v>
      </c>
    </row>
    <row r="53" spans="1:7" x14ac:dyDescent="0.35">
      <c r="A53" s="112"/>
      <c r="B53" s="63"/>
      <c r="C53" s="63"/>
      <c r="D53" s="63"/>
      <c r="E53" s="63"/>
      <c r="F53" s="63"/>
      <c r="G53" s="64">
        <v>52</v>
      </c>
    </row>
    <row r="54" spans="1:7" x14ac:dyDescent="0.35">
      <c r="A54" s="112"/>
      <c r="B54" s="63"/>
      <c r="C54" s="63"/>
      <c r="D54" s="63"/>
      <c r="E54" s="63"/>
      <c r="F54" s="63"/>
      <c r="G54" s="64">
        <v>53</v>
      </c>
    </row>
    <row r="55" spans="1:7" x14ac:dyDescent="0.35">
      <c r="A55" s="112"/>
      <c r="B55" s="63"/>
      <c r="C55" s="63"/>
      <c r="D55" s="63"/>
      <c r="E55" s="63"/>
      <c r="F55" s="63"/>
      <c r="G55" s="64">
        <v>54</v>
      </c>
    </row>
  </sheetData>
  <mergeCells count="12">
    <mergeCell ref="A51:A55"/>
    <mergeCell ref="A2:A6"/>
    <mergeCell ref="A7:A10"/>
    <mergeCell ref="A11:A14"/>
    <mergeCell ref="A15:A19"/>
    <mergeCell ref="A20:A24"/>
    <mergeCell ref="A25:A28"/>
    <mergeCell ref="A29:A33"/>
    <mergeCell ref="A34:A37"/>
    <mergeCell ref="A38:A41"/>
    <mergeCell ref="A42:A46"/>
    <mergeCell ref="A47:A5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G35"/>
  <sheetViews>
    <sheetView topLeftCell="A10" workbookViewId="0">
      <selection activeCell="G21" sqref="G21"/>
    </sheetView>
  </sheetViews>
  <sheetFormatPr defaultRowHeight="23.25" x14ac:dyDescent="0.35"/>
  <cols>
    <col min="1" max="1" width="11.58203125" style="12" customWidth="1"/>
    <col min="2" max="16384" width="8.6640625" style="12"/>
  </cols>
  <sheetData>
    <row r="1" spans="1:7" ht="24" thickBot="1" x14ac:dyDescent="0.4">
      <c r="A1" s="117" t="s">
        <v>56</v>
      </c>
      <c r="B1" s="118"/>
      <c r="C1" s="118"/>
      <c r="D1" s="118"/>
      <c r="E1" s="118"/>
      <c r="F1" s="118"/>
      <c r="G1" s="119"/>
    </row>
    <row r="2" spans="1:7" ht="24" thickBot="1" x14ac:dyDescent="0.4"/>
    <row r="3" spans="1:7" ht="24" thickBot="1" x14ac:dyDescent="0.4">
      <c r="A3" s="117" t="s">
        <v>55</v>
      </c>
      <c r="B3" s="118"/>
      <c r="C3" s="118"/>
      <c r="D3" s="118"/>
      <c r="E3" s="118"/>
      <c r="F3" s="118"/>
      <c r="G3" s="119"/>
    </row>
    <row r="4" spans="1:7" ht="24" thickBot="1" x14ac:dyDescent="0.4">
      <c r="A4" s="40"/>
      <c r="B4" s="40"/>
      <c r="C4" s="40"/>
      <c r="D4" s="40"/>
      <c r="E4" s="40"/>
      <c r="F4" s="40"/>
      <c r="G4" s="40"/>
    </row>
    <row r="5" spans="1:7" ht="24" thickBot="1" x14ac:dyDescent="0.4">
      <c r="A5" s="121" t="s">
        <v>69</v>
      </c>
      <c r="B5" s="122"/>
      <c r="C5" s="122" t="s">
        <v>57</v>
      </c>
      <c r="D5" s="122"/>
      <c r="E5" s="122" t="s">
        <v>58</v>
      </c>
      <c r="F5" s="122"/>
      <c r="G5" s="41" t="s">
        <v>90</v>
      </c>
    </row>
    <row r="6" spans="1:7" ht="24" thickTop="1" x14ac:dyDescent="0.35">
      <c r="A6" s="120" t="s">
        <v>50</v>
      </c>
      <c r="B6" s="120"/>
      <c r="C6" s="120" t="s">
        <v>64</v>
      </c>
      <c r="D6" s="120"/>
      <c r="E6" s="120" t="s">
        <v>59</v>
      </c>
      <c r="F6" s="120"/>
      <c r="G6" s="42" t="s">
        <v>91</v>
      </c>
    </row>
    <row r="7" spans="1:7" x14ac:dyDescent="0.35">
      <c r="A7" s="116" t="s">
        <v>51</v>
      </c>
      <c r="B7" s="116"/>
      <c r="C7" s="116" t="s">
        <v>65</v>
      </c>
      <c r="D7" s="116"/>
      <c r="E7" s="116" t="s">
        <v>60</v>
      </c>
      <c r="F7" s="116"/>
      <c r="G7" s="43" t="s">
        <v>91</v>
      </c>
    </row>
    <row r="8" spans="1:7" x14ac:dyDescent="0.35">
      <c r="A8" s="116" t="s">
        <v>52</v>
      </c>
      <c r="B8" s="116"/>
      <c r="C8" s="116" t="s">
        <v>66</v>
      </c>
      <c r="D8" s="116"/>
      <c r="E8" s="116" t="s">
        <v>61</v>
      </c>
      <c r="F8" s="116"/>
      <c r="G8" s="43" t="s">
        <v>91</v>
      </c>
    </row>
    <row r="9" spans="1:7" x14ac:dyDescent="0.35">
      <c r="A9" s="116" t="s">
        <v>53</v>
      </c>
      <c r="B9" s="116"/>
      <c r="C9" s="116" t="s">
        <v>67</v>
      </c>
      <c r="D9" s="116"/>
      <c r="E9" s="116" t="s">
        <v>62</v>
      </c>
      <c r="F9" s="116"/>
      <c r="G9" s="43" t="s">
        <v>91</v>
      </c>
    </row>
    <row r="10" spans="1:7" x14ac:dyDescent="0.35">
      <c r="A10" s="116" t="s">
        <v>54</v>
      </c>
      <c r="B10" s="116"/>
      <c r="C10" s="116" t="s">
        <v>68</v>
      </c>
      <c r="D10" s="116"/>
      <c r="E10" s="116" t="s">
        <v>63</v>
      </c>
      <c r="F10" s="116"/>
      <c r="G10" s="43" t="s">
        <v>91</v>
      </c>
    </row>
    <row r="11" spans="1:7" x14ac:dyDescent="0.35">
      <c r="A11" s="116" t="s">
        <v>72</v>
      </c>
      <c r="B11" s="116"/>
      <c r="C11" s="116" t="s">
        <v>74</v>
      </c>
      <c r="D11" s="116"/>
      <c r="E11" s="116" t="s">
        <v>73</v>
      </c>
      <c r="F11" s="116"/>
      <c r="G11" s="43" t="s">
        <v>92</v>
      </c>
    </row>
    <row r="12" spans="1:7" x14ac:dyDescent="0.35">
      <c r="A12" s="116" t="s">
        <v>71</v>
      </c>
      <c r="B12" s="116"/>
      <c r="C12" s="116" t="s">
        <v>85</v>
      </c>
      <c r="D12" s="116"/>
      <c r="E12" s="116" t="s">
        <v>83</v>
      </c>
      <c r="F12" s="116"/>
      <c r="G12" s="43" t="s">
        <v>93</v>
      </c>
    </row>
    <row r="13" spans="1:7" x14ac:dyDescent="0.35">
      <c r="A13" s="116" t="s">
        <v>70</v>
      </c>
      <c r="B13" s="116"/>
      <c r="C13" s="116" t="s">
        <v>86</v>
      </c>
      <c r="D13" s="116"/>
      <c r="E13" s="116" t="s">
        <v>84</v>
      </c>
      <c r="F13" s="116"/>
      <c r="G13" s="43" t="s">
        <v>93</v>
      </c>
    </row>
    <row r="14" spans="1:7" ht="24" thickBot="1" x14ac:dyDescent="0.4"/>
    <row r="15" spans="1:7" ht="24" thickBot="1" x14ac:dyDescent="0.4">
      <c r="A15" s="117" t="s">
        <v>89</v>
      </c>
      <c r="B15" s="118"/>
      <c r="C15" s="118"/>
      <c r="D15" s="118"/>
      <c r="E15" s="118"/>
      <c r="F15" s="118"/>
      <c r="G15" s="119"/>
    </row>
    <row r="16" spans="1:7" ht="24" thickBot="1" x14ac:dyDescent="0.4">
      <c r="A16" s="40"/>
      <c r="B16" s="40"/>
      <c r="C16" s="40"/>
      <c r="D16" s="40"/>
      <c r="E16" s="40"/>
      <c r="F16" s="40"/>
      <c r="G16" s="40"/>
    </row>
    <row r="17" spans="1:7" ht="24" thickBot="1" x14ac:dyDescent="0.4">
      <c r="A17" s="123" t="s">
        <v>69</v>
      </c>
      <c r="B17" s="124"/>
      <c r="C17" s="124" t="s">
        <v>57</v>
      </c>
      <c r="D17" s="124"/>
      <c r="E17" s="124" t="s">
        <v>58</v>
      </c>
      <c r="F17" s="124"/>
      <c r="G17" s="41" t="s">
        <v>90</v>
      </c>
    </row>
    <row r="18" spans="1:7" ht="24" thickTop="1" x14ac:dyDescent="0.35">
      <c r="A18" s="120" t="s">
        <v>75</v>
      </c>
      <c r="B18" s="120"/>
      <c r="C18" s="120" t="s">
        <v>77</v>
      </c>
      <c r="D18" s="120"/>
      <c r="E18" s="120" t="s">
        <v>76</v>
      </c>
      <c r="F18" s="120"/>
      <c r="G18" s="42" t="s">
        <v>91</v>
      </c>
    </row>
    <row r="19" spans="1:7" x14ac:dyDescent="0.35">
      <c r="A19" s="116" t="s">
        <v>78</v>
      </c>
      <c r="B19" s="116"/>
      <c r="C19" s="116" t="s">
        <v>115</v>
      </c>
      <c r="D19" s="116"/>
      <c r="E19" s="116" t="s">
        <v>79</v>
      </c>
      <c r="F19" s="116"/>
      <c r="G19" s="43" t="s">
        <v>92</v>
      </c>
    </row>
    <row r="20" spans="1:7" x14ac:dyDescent="0.35">
      <c r="A20" s="116" t="s">
        <v>80</v>
      </c>
      <c r="B20" s="116"/>
      <c r="C20" s="116" t="s">
        <v>81</v>
      </c>
      <c r="D20" s="116"/>
      <c r="E20" s="116" t="s">
        <v>82</v>
      </c>
      <c r="F20" s="116"/>
      <c r="G20" s="43" t="s">
        <v>92</v>
      </c>
    </row>
    <row r="21" spans="1:7" x14ac:dyDescent="0.35">
      <c r="A21" s="116" t="s">
        <v>87</v>
      </c>
      <c r="B21" s="116"/>
      <c r="C21" s="116" t="s">
        <v>88</v>
      </c>
      <c r="D21" s="116"/>
      <c r="E21" s="116" t="s">
        <v>94</v>
      </c>
      <c r="F21" s="116"/>
      <c r="G21" s="43" t="s">
        <v>93</v>
      </c>
    </row>
    <row r="22" spans="1:7" ht="24" thickBot="1" x14ac:dyDescent="0.4">
      <c r="A22" s="125"/>
      <c r="B22" s="125"/>
      <c r="C22" s="125"/>
      <c r="D22" s="125"/>
      <c r="E22" s="125"/>
      <c r="F22" s="125"/>
      <c r="G22" s="44"/>
    </row>
    <row r="23" spans="1:7" ht="24" thickBot="1" x14ac:dyDescent="0.4">
      <c r="A23" s="117" t="s">
        <v>95</v>
      </c>
      <c r="B23" s="118"/>
      <c r="C23" s="118"/>
      <c r="D23" s="118"/>
      <c r="E23" s="118"/>
      <c r="F23" s="118"/>
      <c r="G23" s="119"/>
    </row>
    <row r="25" spans="1:7" x14ac:dyDescent="0.35">
      <c r="A25" s="126" t="s">
        <v>96</v>
      </c>
      <c r="B25" s="126"/>
      <c r="C25" s="126" t="s">
        <v>97</v>
      </c>
      <c r="D25" s="126"/>
      <c r="E25" s="126"/>
      <c r="F25" s="12" t="s">
        <v>101</v>
      </c>
      <c r="G25" s="12" t="s">
        <v>102</v>
      </c>
    </row>
    <row r="26" spans="1:7" x14ac:dyDescent="0.35">
      <c r="A26" s="126" t="s">
        <v>99</v>
      </c>
      <c r="B26" s="126"/>
      <c r="C26" s="126" t="s">
        <v>100</v>
      </c>
      <c r="D26" s="126"/>
      <c r="E26" s="126"/>
      <c r="F26" s="44" t="s">
        <v>103</v>
      </c>
      <c r="G26" s="44" t="s">
        <v>92</v>
      </c>
    </row>
    <row r="27" spans="1:7" x14ac:dyDescent="0.35">
      <c r="A27" s="126" t="s">
        <v>98</v>
      </c>
      <c r="B27" s="126"/>
      <c r="C27" s="126"/>
      <c r="D27" s="126"/>
      <c r="E27" s="126"/>
      <c r="F27" s="126"/>
      <c r="G27" s="126"/>
    </row>
    <row r="28" spans="1:7" x14ac:dyDescent="0.35">
      <c r="A28" s="44" t="s">
        <v>107</v>
      </c>
      <c r="B28" s="44" t="s">
        <v>108</v>
      </c>
      <c r="C28" s="126" t="s">
        <v>109</v>
      </c>
      <c r="D28" s="126"/>
      <c r="E28" s="126"/>
      <c r="F28" s="126"/>
      <c r="G28" s="126"/>
    </row>
    <row r="29" spans="1:7" x14ac:dyDescent="0.35">
      <c r="A29" s="12" t="s">
        <v>104</v>
      </c>
      <c r="B29" s="12" t="s">
        <v>110</v>
      </c>
      <c r="C29" s="126" t="s">
        <v>105</v>
      </c>
      <c r="D29" s="126"/>
      <c r="E29" s="126"/>
      <c r="F29" s="126"/>
      <c r="G29" s="126"/>
    </row>
    <row r="30" spans="1:7" x14ac:dyDescent="0.35">
      <c r="A30" s="126" t="s">
        <v>106</v>
      </c>
      <c r="B30" s="126"/>
      <c r="C30" s="126"/>
      <c r="D30" s="126"/>
      <c r="E30" s="126"/>
      <c r="F30" s="126"/>
      <c r="G30" s="126"/>
    </row>
    <row r="31" spans="1:7" x14ac:dyDescent="0.35">
      <c r="A31" s="12" t="s">
        <v>107</v>
      </c>
      <c r="B31" s="12" t="s">
        <v>108</v>
      </c>
    </row>
    <row r="32" spans="1:7" x14ac:dyDescent="0.35">
      <c r="A32" s="12" t="s">
        <v>113</v>
      </c>
      <c r="B32" s="12" t="s">
        <v>110</v>
      </c>
    </row>
    <row r="33" spans="1:2" x14ac:dyDescent="0.35">
      <c r="A33" s="12" t="s">
        <v>111</v>
      </c>
      <c r="B33" s="12" t="s">
        <v>92</v>
      </c>
    </row>
    <row r="34" spans="1:2" x14ac:dyDescent="0.35">
      <c r="A34" s="12" t="s">
        <v>114</v>
      </c>
    </row>
    <row r="35" spans="1:2" x14ac:dyDescent="0.35">
      <c r="A35" s="12" t="s">
        <v>112</v>
      </c>
      <c r="B35" s="12" t="s">
        <v>92</v>
      </c>
    </row>
  </sheetData>
  <mergeCells count="57">
    <mergeCell ref="A27:G27"/>
    <mergeCell ref="A30:G30"/>
    <mergeCell ref="C28:G28"/>
    <mergeCell ref="C29:G29"/>
    <mergeCell ref="A23:G23"/>
    <mergeCell ref="A25:B25"/>
    <mergeCell ref="A26:B26"/>
    <mergeCell ref="C25:E25"/>
    <mergeCell ref="C26:E26"/>
    <mergeCell ref="A22:B22"/>
    <mergeCell ref="C22:D22"/>
    <mergeCell ref="E22:F22"/>
    <mergeCell ref="A20:B20"/>
    <mergeCell ref="C20:D20"/>
    <mergeCell ref="E20:F20"/>
    <mergeCell ref="A21:B21"/>
    <mergeCell ref="C21:D21"/>
    <mergeCell ref="E21:F21"/>
    <mergeCell ref="A18:B18"/>
    <mergeCell ref="C18:D18"/>
    <mergeCell ref="E18:F18"/>
    <mergeCell ref="A19:B19"/>
    <mergeCell ref="C19:D19"/>
    <mergeCell ref="E19:F19"/>
    <mergeCell ref="A13:B13"/>
    <mergeCell ref="C13:D13"/>
    <mergeCell ref="E13:F13"/>
    <mergeCell ref="A15:G15"/>
    <mergeCell ref="A17:B17"/>
    <mergeCell ref="C17:D17"/>
    <mergeCell ref="E17:F17"/>
    <mergeCell ref="A11:B11"/>
    <mergeCell ref="C11:D11"/>
    <mergeCell ref="E11:F11"/>
    <mergeCell ref="A12:B12"/>
    <mergeCell ref="C12:D12"/>
    <mergeCell ref="E12:F12"/>
    <mergeCell ref="A1:G1"/>
    <mergeCell ref="C5:D5"/>
    <mergeCell ref="E5:F5"/>
    <mergeCell ref="C6:D6"/>
    <mergeCell ref="C7:D7"/>
    <mergeCell ref="A9:B9"/>
    <mergeCell ref="A10:B10"/>
    <mergeCell ref="A3:G3"/>
    <mergeCell ref="C9:D9"/>
    <mergeCell ref="C10:D10"/>
    <mergeCell ref="E9:F9"/>
    <mergeCell ref="E10:F10"/>
    <mergeCell ref="C8:D8"/>
    <mergeCell ref="E6:F6"/>
    <mergeCell ref="E7:F7"/>
    <mergeCell ref="E8:F8"/>
    <mergeCell ref="A5:B5"/>
    <mergeCell ref="A6:B6"/>
    <mergeCell ref="A7:B7"/>
    <mergeCell ref="A8:B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31</vt:i4>
      </vt:variant>
    </vt:vector>
  </HeadingPairs>
  <TitlesOfParts>
    <vt:vector size="37" baseType="lpstr">
      <vt:lpstr>Start Page</vt:lpstr>
      <vt:lpstr>Tote Sort Schedule</vt:lpstr>
      <vt:lpstr>EPREF</vt:lpstr>
      <vt:lpstr>App Data</vt:lpstr>
      <vt:lpstr>EE Log</vt:lpstr>
      <vt:lpstr>Employee Class Description</vt:lpstr>
      <vt:lpstr>AVF</vt:lpstr>
      <vt:lpstr>cal_data</vt:lpstr>
      <vt:lpstr>cal_start</vt:lpstr>
      <vt:lpstr>Calendar</vt:lpstr>
      <vt:lpstr>Date_Code</vt:lpstr>
      <vt:lpstr>DEBUGMODE</vt:lpstr>
      <vt:lpstr>EECOMDBMODE</vt:lpstr>
      <vt:lpstr>emp_count</vt:lpstr>
      <vt:lpstr>list_seg</vt:lpstr>
      <vt:lpstr>MAINDBMODE</vt:lpstr>
      <vt:lpstr>MONTH</vt:lpstr>
      <vt:lpstr>month_end</vt:lpstr>
      <vt:lpstr>Month_N</vt:lpstr>
      <vt:lpstr>month_name</vt:lpstr>
      <vt:lpstr>Month_Start</vt:lpstr>
      <vt:lpstr>pindex</vt:lpstr>
      <vt:lpstr>randkeyDB</vt:lpstr>
      <vt:lpstr>schdbmode</vt:lpstr>
      <vt:lpstr>SCRIBEDBMODE</vt:lpstr>
      <vt:lpstr>stp_chk</vt:lpstr>
      <vt:lpstr>WE_DAYS</vt:lpstr>
      <vt:lpstr>week_1</vt:lpstr>
      <vt:lpstr>week_2</vt:lpstr>
      <vt:lpstr>week_3</vt:lpstr>
      <vt:lpstr>week_4</vt:lpstr>
      <vt:lpstr>week_5</vt:lpstr>
      <vt:lpstr>week_6</vt:lpstr>
      <vt:lpstr>weekNum</vt:lpstr>
      <vt:lpstr>year</vt:lpstr>
      <vt:lpstr>year_box</vt:lpstr>
      <vt:lpstr>Year_N</vt:lpstr>
    </vt:vector>
  </TitlesOfParts>
  <Company>UPS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Tyra Jonathan (VCQ5LXR)</dc:creator>
  <cp:lastModifiedBy>Tyra Jonathan (VCQ5LXR)</cp:lastModifiedBy>
  <cp:lastPrinted>2018-12-01T07:27:34Z</cp:lastPrinted>
  <dcterms:created xsi:type="dcterms:W3CDTF">2018-11-25T05:52:35Z</dcterms:created>
  <dcterms:modified xsi:type="dcterms:W3CDTF">2019-05-07T03:20:48Z</dcterms:modified>
</cp:coreProperties>
</file>