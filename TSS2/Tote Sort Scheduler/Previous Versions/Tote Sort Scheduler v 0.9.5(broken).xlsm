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TY\Desktop\Work Stuff\Tote Sort Scheduler\Current Version\"/>
    </mc:Choice>
  </mc:AlternateContent>
  <xr:revisionPtr revIDLastSave="0" documentId="13_ncr:1_{F3F8CF1F-6C66-4BC4-956D-D4B5EC51AB51}" xr6:coauthVersionLast="40" xr6:coauthVersionMax="40" xr10:uidLastSave="{00000000-0000-0000-0000-000000000000}"/>
  <bookViews>
    <workbookView xWindow="0" yWindow="0" windowWidth="19170" windowHeight="11355" tabRatio="592" xr2:uid="{00000000-000D-0000-FFFF-FFFF00000000}"/>
  </bookViews>
  <sheets>
    <sheet name="Start Page" sheetId="4" r:id="rId1"/>
    <sheet name="Tote Sort Schedule" sheetId="2" r:id="rId2"/>
    <sheet name="EPREF" sheetId="1" state="hidden" r:id="rId3"/>
    <sheet name="App Data" sheetId="3" state="hidden" r:id="rId4"/>
    <sheet name="Employee Class Description" sheetId="5" state="veryHidden" r:id="rId5"/>
  </sheets>
  <definedNames>
    <definedName name="cal_start">'App Data'!$A$8</definedName>
    <definedName name="Calendar">'Tote Sort Schedule'!$A$1:$G$21</definedName>
    <definedName name="Date_Code">'App Data'!$A$2</definedName>
    <definedName name="emp_count">'App Data'!$F$4</definedName>
    <definedName name="list_seg">'App Data'!$G$6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stp_chk">'App Data'!$F$6</definedName>
    <definedName name="year">'App Data'!$A$10</definedName>
    <definedName name="year_box">'App Data'!$E$2:$E$11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2" l="1"/>
  <c r="F4" i="3" l="1"/>
  <c r="A10" i="3" l="1"/>
  <c r="A8" i="3"/>
  <c r="A2" i="3"/>
</calcChain>
</file>

<file path=xl/sharedStrings.xml><?xml version="1.0" encoding="utf-8"?>
<sst xmlns="http://schemas.openxmlformats.org/spreadsheetml/2006/main" count="162" uniqueCount="134">
  <si>
    <t>Name</t>
  </si>
  <si>
    <t xml:space="preserve">Mon </t>
  </si>
  <si>
    <t>Tue</t>
  </si>
  <si>
    <t>Wed</t>
  </si>
  <si>
    <t>Thur</t>
  </si>
  <si>
    <t>Fri</t>
  </si>
  <si>
    <t>Double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</si>
  <si>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</si>
  <si>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</si>
  <si>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</si>
  <si>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</si>
  <si>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</si>
  <si>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</si>
  <si>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</si>
  <si>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</si>
  <si>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</si>
  <si>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</si>
  <si>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</si>
  <si>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</si>
  <si>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</si>
  <si>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</si>
  <si>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</si>
  <si>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</si>
  <si>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</si>
  <si>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</si>
  <si>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</si>
  <si>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</si>
  <si>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</si>
  <si>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</si>
  <si>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</si>
  <si>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</si>
  <si>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</si>
  <si>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</si>
  <si>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</si>
  <si>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</si>
  <si>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</si>
  <si>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</si>
  <si>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</si>
  <si>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</si>
  <si>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</si>
  <si>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</si>
  <si>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</si>
  <si>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</si>
  <si>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</si>
  <si>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</si>
  <si>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</si>
  <si>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</si>
  <si>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</si>
  <si>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</si>
  <si>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</si>
  <si>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</si>
  <si>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</si>
  <si>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</si>
  <si>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</si>
  <si>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</si>
  <si>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</si>
  <si>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</si>
  <si>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</si>
  <si>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</si>
  <si>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</si>
  <si>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</si>
  <si>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</si>
  <si>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</si>
  <si>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</si>
  <si>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</si>
  <si>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</si>
  <si>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</si>
  <si>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</si>
  <si>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</si>
  <si>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</si>
  <si>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</si>
  <si>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</si>
  <si>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</si>
  <si>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</si>
  <si>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</si>
  <si>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</si>
  <si>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</si>
  <si>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</si>
  <si>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</si>
  <si>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</si>
  <si>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</si>
  <si>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</si>
  <si>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</si>
  <si>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</si>
  <si>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</si>
  <si>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</si>
  <si>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</si>
  <si>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</si>
  <si>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</si>
  <si>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</si>
  <si>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</si>
  <si>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</si>
  <si>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</si>
  <si>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</si>
  <si>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</si>
  <si>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</si>
  <si>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</si>
  <si>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</si>
  <si>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</si>
  <si>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</si>
  <si>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</si>
  <si>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</si>
  <si>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</si>
  <si>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</si>
  <si>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</si>
  <si>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</si>
  <si>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</si>
  <si>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</si>
  <si>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</si>
  <si>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</si>
  <si>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</si>
  <si>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</si>
  <si>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</si>
  <si>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</si>
  <si>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</si>
  <si>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</si>
  <si>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</si>
  <si>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</si>
  <si>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</si>
  <si>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</si>
  <si>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System Calibration Data</t>
  </si>
  <si>
    <t>Screen H</t>
  </si>
  <si>
    <t>Screen W</t>
  </si>
  <si>
    <t>Form Offset Values</t>
  </si>
  <si>
    <t>Speed</t>
  </si>
  <si>
    <t>Speed Offset</t>
  </si>
  <si>
    <t>Debug Flags</t>
  </si>
  <si>
    <t>Debug Mode</t>
  </si>
  <si>
    <t>Scheduler Comments</t>
  </si>
  <si>
    <t>EE Comments</t>
  </si>
  <si>
    <t>Scriber Comments</t>
  </si>
  <si>
    <t>Main Comments</t>
  </si>
  <si>
    <t>Leap Year</t>
  </si>
  <si>
    <t>Tote Sort Scheduler v 0.9.5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</si>
</sst>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-yy;@"/>
  </numFmts>
  <fonts count="8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5" borderId="22" xfId="0" applyNumberFormat="1" applyFill="1" applyBorder="1" applyAlignment="1">
      <alignment horizontal="center" shrinkToFit="1"/>
    </xf>
    <xf numFmtId="0" fontId="0" fillId="5" borderId="24" xfId="0" applyNumberFormat="1" applyFill="1" applyBorder="1" applyAlignment="1">
      <alignment horizontal="center" shrinkToFit="1"/>
    </xf>
    <xf numFmtId="0" fontId="0" fillId="5" borderId="32" xfId="0" applyFill="1" applyBorder="1" applyAlignment="1">
      <alignment horizontal="center" shrinkToFit="1"/>
    </xf>
    <xf numFmtId="0" fontId="0" fillId="5" borderId="37" xfId="0" applyFill="1" applyBorder="1" applyAlignment="1">
      <alignment horizontal="center" shrinkToFit="1"/>
    </xf>
    <xf numFmtId="0" fontId="0" fillId="5" borderId="33" xfId="0" applyFill="1" applyBorder="1" applyAlignment="1">
      <alignment horizontal="center"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Fill="1" applyBorder="1" applyAlignment="1">
      <alignment horizontal="center" shrinkToFit="1"/>
    </xf>
    <xf numFmtId="0" fontId="0" fillId="7" borderId="12" xfId="0" applyFill="1" applyBorder="1" applyAlignment="1">
      <alignment shrinkToFit="1"/>
    </xf>
    <xf numFmtId="0" fontId="0" fillId="7" borderId="35" xfId="0" applyFill="1" applyBorder="1" applyAlignment="1">
      <alignment horizontal="center" shrinkToFit="1"/>
    </xf>
    <xf numFmtId="0" fontId="0" fillId="7" borderId="8" xfId="0" applyFill="1" applyBorder="1" applyAlignment="1">
      <alignment shrinkToFit="1"/>
    </xf>
    <xf numFmtId="0" fontId="0" fillId="7" borderId="25" xfId="0" applyFill="1" applyBorder="1" applyAlignment="1">
      <alignment horizontal="center" shrinkToFit="1"/>
    </xf>
    <xf numFmtId="0" fontId="0" fillId="7" borderId="31" xfId="0" applyFill="1" applyBorder="1" applyAlignment="1">
      <alignment shrinkToFit="1"/>
    </xf>
    <xf numFmtId="0" fontId="0" fillId="7" borderId="36" xfId="0" applyFill="1" applyBorder="1" applyAlignment="1">
      <alignment horizontal="center" shrinkToFit="1"/>
    </xf>
    <xf numFmtId="0" fontId="0" fillId="7" borderId="22" xfId="0" applyFill="1" applyBorder="1" applyAlignment="1">
      <alignment horizontal="center" shrinkToFit="1"/>
    </xf>
    <xf numFmtId="0" fontId="0" fillId="7" borderId="38" xfId="0" applyFill="1" applyBorder="1" applyAlignment="1">
      <alignment horizontal="center" shrinkToFit="1"/>
    </xf>
    <xf numFmtId="0" fontId="0" fillId="8" borderId="22" xfId="0" applyFill="1" applyBorder="1" applyAlignment="1">
      <alignment shrinkToFit="1"/>
    </xf>
    <xf numFmtId="0" fontId="0" fillId="8" borderId="23" xfId="0" applyFont="1" applyFill="1" applyBorder="1" applyAlignment="1">
      <alignment shrinkToFit="1"/>
    </xf>
    <xf numFmtId="0" fontId="0" fillId="8" borderId="22" xfId="0" applyFont="1" applyFill="1" applyBorder="1" applyAlignment="1">
      <alignment shrinkToFit="1"/>
    </xf>
    <xf numFmtId="0" fontId="0" fillId="8" borderId="22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8" borderId="23" xfId="0" applyFill="1" applyBorder="1" applyAlignment="1">
      <alignment horizontal="center" shrinkToFit="1"/>
    </xf>
    <xf numFmtId="0" fontId="0" fillId="5" borderId="22" xfId="0" applyFill="1" applyBorder="1" applyAlignment="1">
      <alignment horizontal="center" shrinkToFit="1"/>
    </xf>
    <xf numFmtId="14" fontId="0" fillId="5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1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10" borderId="0" xfId="0" applyFill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4" fillId="6" borderId="4" xfId="0" applyFont="1" applyFill="1" applyBorder="1" applyAlignment="1">
      <alignment vertical="center"/>
    </xf>
    <xf numFmtId="0" fontId="4" fillId="6" borderId="5" xfId="0" applyFont="1" applyFill="1" applyBorder="1" applyAlignment="1">
      <alignment vertical="center"/>
    </xf>
    <xf numFmtId="0" fontId="4" fillId="6" borderId="29" xfId="0" applyFont="1" applyFill="1" applyBorder="1" applyAlignment="1">
      <alignment vertical="center"/>
    </xf>
    <xf numFmtId="0" fontId="4" fillId="6" borderId="30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shrinkToFit="1"/>
    </xf>
    <xf numFmtId="0" fontId="0" fillId="0" borderId="1" xfId="0" applyBorder="1" applyAlignment="1">
      <alignment shrinkToFit="1"/>
    </xf>
    <xf numFmtId="0" fontId="0" fillId="0" borderId="13" xfId="0" applyBorder="1" applyAlignment="1">
      <alignment shrinkToFit="1"/>
    </xf>
    <xf numFmtId="0" fontId="4" fillId="6" borderId="0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13" borderId="17" xfId="0" applyFill="1" applyBorder="1" applyAlignment="1">
      <alignment horizontal="center" vertical="center" wrapText="1"/>
    </xf>
    <xf numFmtId="0" fontId="0" fillId="11" borderId="13" xfId="0" applyFill="1" applyBorder="1" applyAlignment="1">
      <alignment horizontal="center" vertical="center" wrapText="1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0" fillId="8" borderId="15" xfId="0" applyFont="1" applyFill="1" applyBorder="1" applyAlignment="1">
      <alignment horizontal="center" shrinkToFit="1"/>
    </xf>
    <xf numFmtId="0" fontId="0" fillId="8" borderId="34" xfId="0" applyFont="1" applyFill="1" applyBorder="1" applyAlignment="1">
      <alignment horizontal="center" shrinkToFit="1"/>
    </xf>
    <xf numFmtId="0" fontId="0" fillId="8" borderId="26" xfId="0" applyFont="1" applyFill="1" applyBorder="1" applyAlignment="1">
      <alignment horizontal="center" shrinkToFit="1"/>
    </xf>
    <xf numFmtId="0" fontId="0" fillId="8" borderId="27" xfId="0" applyFont="1" applyFill="1" applyBorder="1" applyAlignment="1">
      <alignment horizontal="center" shrinkToFit="1"/>
    </xf>
    <xf numFmtId="0" fontId="0" fillId="8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5" borderId="26" xfId="0" applyFill="1" applyBorder="1" applyAlignment="1">
      <alignment horizontal="center" shrinkToFit="1"/>
    </xf>
    <xf numFmtId="0" fontId="0" fillId="5" borderId="27" xfId="0" applyFill="1" applyBorder="1" applyAlignment="1">
      <alignment horizontal="center" shrinkToFit="1"/>
    </xf>
    <xf numFmtId="0" fontId="0" fillId="5" borderId="28" xfId="0" applyFill="1" applyBorder="1" applyAlignment="1">
      <alignment horizontal="center" shrinkToFit="1"/>
    </xf>
    <xf numFmtId="0" fontId="0" fillId="12" borderId="26" xfId="0" applyFill="1" applyBorder="1" applyAlignment="1">
      <alignment horizontal="center" shrinkToFit="1"/>
    </xf>
    <xf numFmtId="0" fontId="0" fillId="12" borderId="27" xfId="0" applyFill="1" applyBorder="1" applyAlignment="1">
      <alignment horizontal="center" shrinkToFit="1"/>
    </xf>
    <xf numFmtId="0" fontId="0" fillId="12" borderId="28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2" xfId="0" applyBorder="1" applyAlignment="1">
      <alignment horizontal="center" vertical="center" shrinkToFit="1"/>
    </xf>
    <xf numFmtId="0" fontId="0" fillId="0" borderId="39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40" xfId="0" applyBorder="1" applyAlignment="1">
      <alignment horizontal="center" shrinkToFit="1"/>
    </xf>
    <xf numFmtId="0" fontId="0" fillId="0" borderId="39" xfId="0" applyBorder="1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633413</xdr:colOff>
          <xdr:row>7</xdr:row>
          <xdr:rowOff>57150</xdr:rowOff>
        </xdr:from>
        <xdr:to>
          <xdr:col>7</xdr:col>
          <xdr:colOff>52388</xdr:colOff>
          <xdr:row>10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Page">
    <tabColor theme="4" tint="-0.499984740745262"/>
  </sheetPr>
  <dimension ref="A1:Y18"/>
  <sheetViews>
    <sheetView tabSelected="1" zoomScale="93" zoomScaleNormal="93" workbookViewId="0">
      <selection activeCell="D10" sqref="D10"/>
    </sheetView>
  </sheetViews>
  <sheetFormatPr defaultRowHeight="23.25" x14ac:dyDescent="0.7"/>
  <cols>
    <col min="1" max="1" width="1.4140625" customWidth="1"/>
    <col min="7" max="7" width="3.75" customWidth="1"/>
    <col min="10" max="10" width="12.375" customWidth="1"/>
    <col min="12" max="12" width="13.58203125" customWidth="1"/>
  </cols>
  <sheetData>
    <row r="1" spans="1:25" ht="23.65" thickBot="1" x14ac:dyDescent="0.7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25" ht="23.25" customHeight="1" x14ac:dyDescent="0.7">
      <c r="A2" s="59" t="s">
        <v>133</v>
      </c>
      <c r="B2" s="59"/>
      <c r="C2" s="59"/>
      <c r="D2" s="59"/>
      <c r="E2" s="59"/>
      <c r="F2" s="59"/>
      <c r="G2" s="59"/>
      <c r="H2" s="59"/>
      <c r="I2" s="59"/>
      <c r="J2" s="59"/>
      <c r="K2" s="52"/>
      <c r="L2" s="53"/>
      <c r="M2" s="34"/>
    </row>
    <row r="3" spans="1:25" ht="23.65" customHeight="1" thickBot="1" x14ac:dyDescent="0.75">
      <c r="A3" s="59"/>
      <c r="B3" s="59"/>
      <c r="C3" s="59"/>
      <c r="D3" s="59"/>
      <c r="E3" s="59"/>
      <c r="F3" s="59"/>
      <c r="G3" s="59"/>
      <c r="H3" s="59"/>
      <c r="I3" s="59"/>
      <c r="J3" s="59"/>
      <c r="K3" s="54"/>
      <c r="L3" s="55"/>
      <c r="M3" s="34"/>
      <c r="Y3" t="s">
        <v>53</v>
      </c>
    </row>
    <row r="4" spans="1:25" x14ac:dyDescent="0.7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25" x14ac:dyDescent="0.7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25" x14ac:dyDescent="0.7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25" x14ac:dyDescent="0.7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25" x14ac:dyDescent="0.7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25" x14ac:dyDescent="0.7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25" x14ac:dyDescent="0.7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25" x14ac:dyDescent="0.7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25" x14ac:dyDescent="0.7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25" x14ac:dyDescent="0.7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25" x14ac:dyDescent="0.7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25" x14ac:dyDescent="0.7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25" x14ac:dyDescent="0.7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x14ac:dyDescent="0.7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x14ac:dyDescent="0.7">
      <c r="A18" s="47"/>
      <c r="B18" s="47"/>
      <c r="C18" s="47"/>
      <c r="D18" s="47"/>
      <c r="E18" s="47"/>
      <c r="F18" s="47"/>
      <c r="G18" s="47"/>
      <c r="H18" s="47"/>
      <c r="I18" s="47"/>
      <c r="J18" s="47"/>
    </row>
  </sheetData>
  <mergeCells count="1">
    <mergeCell ref="A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3</xdr:col>
                    <xdr:colOff>633413</xdr:colOff>
                    <xdr:row>7</xdr:row>
                    <xdr:rowOff>57150</xdr:rowOff>
                  </from>
                  <to>
                    <xdr:col>7</xdr:col>
                    <xdr:colOff>52388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lendar">
    <tabColor rgb="FFFF0000"/>
    <pageSetUpPr fitToPage="1"/>
  </sheetPr>
  <dimension ref="A1:G21"/>
  <sheetViews>
    <sheetView zoomScale="80" zoomScaleNormal="80" workbookViewId="0">
      <selection activeCell="A4" sqref="A4:G21"/>
    </sheetView>
  </sheetViews>
  <sheetFormatPr defaultRowHeight="23.25" x14ac:dyDescent="0.7"/>
  <cols>
    <col min="1" max="7" width="12.9140625" customWidth="1"/>
  </cols>
  <sheetData>
    <row r="1" spans="1:7" x14ac:dyDescent="0.7">
      <c r="A1" s="76">
        <f>'App Data'!A4</f>
        <v>44105</v>
      </c>
      <c r="B1" s="77"/>
      <c r="C1" s="77"/>
      <c r="D1" s="77"/>
      <c r="E1" s="77"/>
      <c r="F1" s="77"/>
      <c r="G1" s="78"/>
    </row>
    <row r="2" spans="1:7" ht="23.65" thickBot="1" x14ac:dyDescent="0.75">
      <c r="A2" s="79"/>
      <c r="B2" s="80"/>
      <c r="C2" s="80"/>
      <c r="D2" s="80"/>
      <c r="E2" s="80"/>
      <c r="F2" s="80"/>
      <c r="G2" s="81"/>
    </row>
    <row r="3" spans="1:7" ht="23.65" thickBot="1" x14ac:dyDescent="0.75">
      <c r="A3" s="3" t="s">
        <v>22</v>
      </c>
      <c r="B3" s="4" t="s">
        <v>23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24</v>
      </c>
    </row>
    <row r="4" spans="1:7" ht="17.25" customHeight="1" x14ac:dyDescent="0.7">
      <c r="A4" s="6"/>
      <c r="B4" s="7"/>
      <c r="C4" s="7"/>
      <c r="D4" s="7"/>
      <c r="E4" s="7"/>
      <c r="F4" s="7"/>
      <c r="G4" s="8"/>
    </row>
    <row r="5" spans="1:7" x14ac:dyDescent="0.7">
      <c r="A5" s="71"/>
      <c r="B5" s="72"/>
      <c r="C5" s="72"/>
      <c r="D5" s="72"/>
      <c r="E5" s="72"/>
      <c r="F5" s="72"/>
      <c r="G5" s="60"/>
    </row>
    <row r="6" spans="1:7" x14ac:dyDescent="0.7">
      <c r="A6" s="71"/>
      <c r="B6" s="72"/>
      <c r="C6" s="72"/>
      <c r="D6" s="72"/>
      <c r="E6" s="72"/>
      <c r="F6" s="72"/>
      <c r="G6" s="60"/>
    </row>
    <row r="7" spans="1:7" ht="17.25" customHeight="1" x14ac:dyDescent="0.7">
      <c r="A7" s="9"/>
      <c r="B7" s="10"/>
      <c r="C7" s="10"/>
      <c r="D7" s="10"/>
      <c r="E7" s="10"/>
      <c r="F7" s="10"/>
      <c r="G7" s="11"/>
    </row>
    <row r="8" spans="1:7" x14ac:dyDescent="0.7">
      <c r="A8" s="71"/>
      <c r="B8" s="70"/>
      <c r="C8" s="70"/>
      <c r="D8" s="70"/>
      <c r="E8" s="70"/>
      <c r="F8" s="70"/>
      <c r="G8" s="60"/>
    </row>
    <row r="9" spans="1:7" x14ac:dyDescent="0.7">
      <c r="A9" s="71"/>
      <c r="B9" s="70"/>
      <c r="C9" s="70"/>
      <c r="D9" s="70"/>
      <c r="E9" s="70"/>
      <c r="F9" s="70"/>
      <c r="G9" s="60"/>
    </row>
    <row r="10" spans="1:7" ht="17.25" customHeight="1" x14ac:dyDescent="0.7">
      <c r="A10" s="9"/>
      <c r="B10" s="10"/>
      <c r="C10" s="10"/>
      <c r="D10" s="10"/>
      <c r="E10" s="10"/>
      <c r="F10" s="10"/>
      <c r="G10" s="11"/>
    </row>
    <row r="11" spans="1:7" x14ac:dyDescent="0.7">
      <c r="A11" s="71"/>
      <c r="B11" s="70"/>
      <c r="C11" s="70"/>
      <c r="D11" s="73"/>
      <c r="E11" s="70"/>
      <c r="F11" s="70"/>
      <c r="G11" s="60"/>
    </row>
    <row r="12" spans="1:7" x14ac:dyDescent="0.7">
      <c r="A12" s="71"/>
      <c r="B12" s="70"/>
      <c r="C12" s="70"/>
      <c r="D12" s="72"/>
      <c r="E12" s="70"/>
      <c r="F12" s="70"/>
      <c r="G12" s="60"/>
    </row>
    <row r="13" spans="1:7" ht="17.25" customHeight="1" x14ac:dyDescent="0.7">
      <c r="A13" s="9"/>
      <c r="B13" s="10"/>
      <c r="C13" s="10"/>
      <c r="D13" s="10"/>
      <c r="E13" s="10"/>
      <c r="F13" s="10"/>
      <c r="G13" s="11"/>
    </row>
    <row r="14" spans="1:7" ht="23.25" customHeight="1" x14ac:dyDescent="0.7">
      <c r="A14" s="71"/>
      <c r="B14" s="70"/>
      <c r="C14" s="70"/>
      <c r="D14" s="74"/>
      <c r="E14" s="73"/>
      <c r="F14" s="72"/>
      <c r="G14" s="60"/>
    </row>
    <row r="15" spans="1:7" x14ac:dyDescent="0.7">
      <c r="A15" s="71"/>
      <c r="B15" s="70"/>
      <c r="C15" s="70"/>
      <c r="D15" s="75"/>
      <c r="E15" s="72"/>
      <c r="F15" s="72"/>
      <c r="G15" s="60"/>
    </row>
    <row r="16" spans="1:7" ht="17.25" customHeight="1" x14ac:dyDescent="0.7">
      <c r="A16" s="9"/>
      <c r="B16" s="10"/>
      <c r="C16" s="10"/>
      <c r="D16" s="10"/>
      <c r="E16" s="10"/>
      <c r="F16" s="10"/>
      <c r="G16" s="11"/>
    </row>
    <row r="17" spans="1:7" x14ac:dyDescent="0.7">
      <c r="A17" s="71"/>
      <c r="B17" s="69"/>
      <c r="C17" s="70"/>
      <c r="D17" s="70"/>
      <c r="E17" s="70"/>
      <c r="F17" s="70"/>
      <c r="G17" s="60"/>
    </row>
    <row r="18" spans="1:7" x14ac:dyDescent="0.7">
      <c r="A18" s="71"/>
      <c r="B18" s="69"/>
      <c r="C18" s="70"/>
      <c r="D18" s="70"/>
      <c r="E18" s="70"/>
      <c r="F18" s="70"/>
      <c r="G18" s="60"/>
    </row>
    <row r="19" spans="1:7" ht="17.25" customHeight="1" x14ac:dyDescent="0.7">
      <c r="A19" s="9"/>
      <c r="B19" s="12"/>
      <c r="C19" s="10"/>
      <c r="D19" s="10"/>
      <c r="E19" s="10"/>
      <c r="F19" s="10"/>
      <c r="G19" s="11"/>
    </row>
    <row r="20" spans="1:7" x14ac:dyDescent="0.7">
      <c r="A20" s="61"/>
      <c r="B20" s="63"/>
      <c r="C20" s="65"/>
      <c r="D20" s="67"/>
      <c r="E20" s="67"/>
      <c r="F20" s="67"/>
      <c r="G20" s="60"/>
    </row>
    <row r="21" spans="1:7" ht="23.65" thickBot="1" x14ac:dyDescent="0.75">
      <c r="A21" s="62"/>
      <c r="B21" s="64"/>
      <c r="C21" s="66"/>
      <c r="D21" s="64"/>
      <c r="E21" s="64"/>
      <c r="F21" s="64"/>
      <c r="G21" s="68"/>
    </row>
  </sheetData>
  <mergeCells count="43">
    <mergeCell ref="A1:G2"/>
    <mergeCell ref="D8:D9"/>
    <mergeCell ref="C8:C9"/>
    <mergeCell ref="B8:B9"/>
    <mergeCell ref="A8:A9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4:A15"/>
    <mergeCell ref="B14:B15"/>
    <mergeCell ref="C14:C15"/>
    <mergeCell ref="D14:D15"/>
    <mergeCell ref="E14:E15"/>
    <mergeCell ref="F14:F15"/>
    <mergeCell ref="G14:G15"/>
    <mergeCell ref="B11:B12"/>
    <mergeCell ref="C11:C12"/>
    <mergeCell ref="D11:D12"/>
    <mergeCell ref="E11:E12"/>
    <mergeCell ref="F11:F12"/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</mergeCells>
  <pageMargins left="0.7" right="0.7" top="0.75" bottom="0.75" header="0.3" footer="0.3"/>
  <pageSetup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PREF">
    <tabColor rgb="FFFFFF00"/>
  </sheetPr>
  <dimension ref="A1:H18"/>
  <sheetViews>
    <sheetView zoomScale="89" zoomScaleNormal="89" workbookViewId="0">
      <selection activeCell="F12" sqref="F12"/>
    </sheetView>
  </sheetViews>
  <sheetFormatPr defaultRowHeight="23.25" x14ac:dyDescent="0.7"/>
  <cols>
    <col min="1" max="1" width="18.83203125" style="50" customWidth="1"/>
    <col min="2" max="6" width="7.08203125" style="50" customWidth="1"/>
    <col min="7" max="7" width="8.6640625" style="50"/>
    <col min="8" max="8" width="13.08203125" style="50" customWidth="1"/>
    <col min="9" max="16384" width="8.6640625" style="50"/>
  </cols>
  <sheetData>
    <row r="1" spans="1:8" x14ac:dyDescent="0.7">
      <c r="A1" s="4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9" t="s">
        <v>21</v>
      </c>
    </row>
    <row r="2" spans="1:8" x14ac:dyDescent="0.7">
      <c r="A2" s="51" t="s">
        <v>7</v>
      </c>
      <c r="B2" s="2">
        <v>1</v>
      </c>
      <c r="C2" s="2">
        <v>1</v>
      </c>
      <c r="D2" s="2">
        <v>0</v>
      </c>
      <c r="E2" s="2">
        <v>0</v>
      </c>
      <c r="F2" s="2">
        <v>1</v>
      </c>
      <c r="G2" s="2">
        <v>0</v>
      </c>
      <c r="H2" s="2">
        <v>0</v>
      </c>
    </row>
    <row r="3" spans="1:8" x14ac:dyDescent="0.7">
      <c r="A3" s="51" t="s">
        <v>8</v>
      </c>
      <c r="B3" s="2">
        <v>1</v>
      </c>
      <c r="C3" s="2">
        <v>1</v>
      </c>
      <c r="D3" s="2">
        <v>0</v>
      </c>
      <c r="E3" s="2">
        <v>1</v>
      </c>
      <c r="F3" s="2">
        <v>1</v>
      </c>
      <c r="G3" s="2">
        <v>1</v>
      </c>
      <c r="H3" s="2">
        <v>0</v>
      </c>
    </row>
    <row r="4" spans="1:8" x14ac:dyDescent="0.7">
      <c r="A4" s="51" t="s">
        <v>9</v>
      </c>
      <c r="B4" s="2">
        <v>1</v>
      </c>
      <c r="C4" s="2">
        <v>1</v>
      </c>
      <c r="D4" s="2">
        <v>0</v>
      </c>
      <c r="E4" s="2">
        <v>1</v>
      </c>
      <c r="F4" s="2">
        <v>1</v>
      </c>
      <c r="G4" s="2">
        <v>1</v>
      </c>
      <c r="H4" s="2">
        <v>0</v>
      </c>
    </row>
    <row r="5" spans="1:8" ht="24.75" customHeight="1" x14ac:dyDescent="0.7">
      <c r="A5" s="51" t="s">
        <v>10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0</v>
      </c>
      <c r="H5" s="2">
        <v>0</v>
      </c>
    </row>
    <row r="6" spans="1:8" ht="24.75" customHeight="1" x14ac:dyDescent="0.7">
      <c r="A6" s="51" t="s">
        <v>11</v>
      </c>
      <c r="B6" s="2">
        <v>1</v>
      </c>
      <c r="C6" s="2">
        <v>1</v>
      </c>
      <c r="D6" s="2">
        <v>0</v>
      </c>
      <c r="E6" s="2">
        <v>1</v>
      </c>
      <c r="F6" s="2">
        <v>1</v>
      </c>
      <c r="G6" s="2">
        <v>1</v>
      </c>
      <c r="H6" s="2">
        <v>0</v>
      </c>
    </row>
    <row r="7" spans="1:8" ht="24.75" customHeight="1" x14ac:dyDescent="0.7">
      <c r="A7" s="51" t="s">
        <v>12</v>
      </c>
      <c r="B7" s="2">
        <v>1</v>
      </c>
      <c r="C7" s="2">
        <v>1</v>
      </c>
      <c r="D7" s="2">
        <v>0</v>
      </c>
      <c r="E7" s="2">
        <v>1</v>
      </c>
      <c r="F7" s="2">
        <v>1</v>
      </c>
      <c r="G7" s="2">
        <v>1</v>
      </c>
      <c r="H7" s="2">
        <v>0</v>
      </c>
    </row>
    <row r="8" spans="1:8" x14ac:dyDescent="0.7">
      <c r="A8" s="51" t="s">
        <v>13</v>
      </c>
      <c r="B8" s="2">
        <v>1</v>
      </c>
      <c r="C8" s="2">
        <v>1</v>
      </c>
      <c r="D8" s="2">
        <v>0</v>
      </c>
      <c r="E8" s="2">
        <v>1</v>
      </c>
      <c r="F8" s="2">
        <v>0</v>
      </c>
      <c r="G8" s="2">
        <v>0</v>
      </c>
      <c r="H8" s="2">
        <v>0</v>
      </c>
    </row>
    <row r="9" spans="1:8" x14ac:dyDescent="0.7">
      <c r="A9" s="51" t="s">
        <v>27</v>
      </c>
      <c r="B9" s="2">
        <v>1</v>
      </c>
      <c r="C9" s="2">
        <v>1</v>
      </c>
      <c r="D9" s="2">
        <v>0</v>
      </c>
      <c r="E9" s="2">
        <v>0</v>
      </c>
      <c r="F9" s="2">
        <v>0</v>
      </c>
      <c r="G9" s="2">
        <v>1</v>
      </c>
      <c r="H9" s="2">
        <v>0</v>
      </c>
    </row>
    <row r="10" spans="1:8" x14ac:dyDescent="0.7">
      <c r="A10" s="51" t="s">
        <v>14</v>
      </c>
      <c r="B10" s="2">
        <v>1</v>
      </c>
      <c r="C10" s="2">
        <v>1</v>
      </c>
      <c r="D10" s="2">
        <v>0</v>
      </c>
      <c r="E10" s="2">
        <v>1</v>
      </c>
      <c r="F10" s="2">
        <v>1</v>
      </c>
      <c r="G10" s="2">
        <v>1</v>
      </c>
      <c r="H10" s="2">
        <v>0</v>
      </c>
    </row>
    <row r="11" spans="1:8" x14ac:dyDescent="0.7">
      <c r="A11" s="51" t="s">
        <v>25</v>
      </c>
      <c r="B11" s="2">
        <v>1</v>
      </c>
      <c r="C11" s="2">
        <v>1</v>
      </c>
      <c r="D11" s="2">
        <v>0</v>
      </c>
      <c r="E11" s="2">
        <v>1</v>
      </c>
      <c r="F11" s="2">
        <v>1</v>
      </c>
      <c r="G11" s="2">
        <v>1</v>
      </c>
      <c r="H11" s="2">
        <v>0</v>
      </c>
    </row>
    <row r="12" spans="1:8" x14ac:dyDescent="0.7">
      <c r="A12" s="51" t="s">
        <v>15</v>
      </c>
      <c r="B12" s="2">
        <v>0</v>
      </c>
      <c r="C12" s="2">
        <v>1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</row>
    <row r="13" spans="1:8" x14ac:dyDescent="0.7">
      <c r="A13" s="51" t="s">
        <v>16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0</v>
      </c>
    </row>
    <row r="14" spans="1:8" x14ac:dyDescent="0.7">
      <c r="A14" s="51" t="s">
        <v>17</v>
      </c>
      <c r="B14" s="2">
        <v>1</v>
      </c>
      <c r="C14" s="2">
        <v>1</v>
      </c>
      <c r="D14" s="2">
        <v>1</v>
      </c>
      <c r="E14" s="2">
        <v>1</v>
      </c>
      <c r="F14" s="2">
        <v>1</v>
      </c>
      <c r="G14" s="2">
        <v>1</v>
      </c>
      <c r="H14" s="2">
        <v>0</v>
      </c>
    </row>
    <row r="15" spans="1:8" x14ac:dyDescent="0.7">
      <c r="A15" s="51" t="s">
        <v>18</v>
      </c>
      <c r="B15" s="2">
        <v>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</row>
    <row r="16" spans="1:8" x14ac:dyDescent="0.7">
      <c r="A16" s="51" t="s">
        <v>19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0</v>
      </c>
    </row>
    <row r="17" spans="1:8" x14ac:dyDescent="0.7">
      <c r="A17" s="51" t="s">
        <v>26</v>
      </c>
      <c r="B17" s="2">
        <v>0</v>
      </c>
      <c r="C17" s="2">
        <v>0</v>
      </c>
      <c r="D17" s="2">
        <v>0</v>
      </c>
      <c r="E17" s="2">
        <v>0</v>
      </c>
      <c r="F17" s="2">
        <v>1</v>
      </c>
      <c r="G17" s="2">
        <v>0</v>
      </c>
      <c r="H17" s="2">
        <v>0</v>
      </c>
    </row>
    <row r="18" spans="1:8" x14ac:dyDescent="0.7">
      <c r="A18" s="51" t="s">
        <v>20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pp_Data">
    <tabColor theme="9" tint="-0.249977111117893"/>
  </sheetPr>
  <dimension ref="A1:I21"/>
  <sheetViews>
    <sheetView topLeftCell="A10" workbookViewId="0">
      <selection activeCell="G10" sqref="G10"/>
    </sheetView>
  </sheetViews>
  <sheetFormatPr defaultRowHeight="23.25" x14ac:dyDescent="0.7"/>
  <cols>
    <col min="1" max="1" width="9.4140625" style="13" customWidth="1"/>
    <col min="2" max="6" width="8.6640625" style="13"/>
    <col min="7" max="7" width="8.6640625" style="13" customWidth="1"/>
    <col min="8" max="16384" width="8.6640625" style="13"/>
  </cols>
  <sheetData>
    <row r="1" spans="1:9" ht="23.65" thickBot="1" x14ac:dyDescent="0.75">
      <c r="A1" s="30" t="s">
        <v>28</v>
      </c>
      <c r="B1" s="82" t="s">
        <v>29</v>
      </c>
      <c r="C1" s="83"/>
      <c r="D1" s="31" t="s">
        <v>33</v>
      </c>
      <c r="E1" s="32" t="s">
        <v>46</v>
      </c>
      <c r="F1" s="84" t="s">
        <v>47</v>
      </c>
      <c r="G1" s="85"/>
      <c r="H1" s="85"/>
      <c r="I1" s="86"/>
    </row>
    <row r="2" spans="1:9" ht="23.65" thickBot="1" x14ac:dyDescent="0.75">
      <c r="A2" s="19">
        <f ca="1">TODAY()</f>
        <v>43459</v>
      </c>
      <c r="B2" s="21" t="s">
        <v>34</v>
      </c>
      <c r="C2" s="22">
        <v>31</v>
      </c>
      <c r="D2" s="16">
        <v>0</v>
      </c>
      <c r="E2" s="27">
        <v>0</v>
      </c>
      <c r="F2" s="14" t="s">
        <v>48</v>
      </c>
      <c r="G2" s="14" t="s">
        <v>49</v>
      </c>
      <c r="H2" s="14" t="s">
        <v>48</v>
      </c>
      <c r="I2" s="14" t="s">
        <v>49</v>
      </c>
    </row>
    <row r="3" spans="1:9" ht="23.65" thickBot="1" x14ac:dyDescent="0.75">
      <c r="A3" s="29" t="s">
        <v>43</v>
      </c>
      <c r="B3" s="23" t="s">
        <v>35</v>
      </c>
      <c r="C3" s="24">
        <v>28</v>
      </c>
      <c r="D3" s="17">
        <v>0</v>
      </c>
      <c r="E3" s="27">
        <v>1</v>
      </c>
      <c r="F3" s="87" t="s">
        <v>50</v>
      </c>
      <c r="G3" s="88"/>
      <c r="H3" s="88"/>
      <c r="I3" s="89"/>
    </row>
    <row r="4" spans="1:9" ht="23.65" thickBot="1" x14ac:dyDescent="0.75">
      <c r="A4" s="15">
        <v>44105</v>
      </c>
      <c r="B4" s="23" t="s">
        <v>36</v>
      </c>
      <c r="C4" s="24">
        <v>31</v>
      </c>
      <c r="D4" s="17">
        <v>0</v>
      </c>
      <c r="E4" s="27">
        <v>2</v>
      </c>
      <c r="F4" s="90">
        <f>COUNTA(EPREF!A2:A18)</f>
        <v>17</v>
      </c>
      <c r="G4" s="91"/>
      <c r="H4" s="91"/>
      <c r="I4" s="92"/>
    </row>
    <row r="5" spans="1:9" ht="23.65" thickBot="1" x14ac:dyDescent="0.75">
      <c r="A5" s="29" t="s">
        <v>45</v>
      </c>
      <c r="B5" s="23" t="s">
        <v>37</v>
      </c>
      <c r="C5" s="24">
        <v>30</v>
      </c>
      <c r="D5" s="17">
        <v>0</v>
      </c>
      <c r="E5" s="27">
        <v>3</v>
      </c>
      <c r="F5" s="35" t="s">
        <v>51</v>
      </c>
      <c r="G5" s="37" t="s">
        <v>52</v>
      </c>
    </row>
    <row r="6" spans="1:9" ht="23.65" thickBot="1" x14ac:dyDescent="0.75">
      <c r="A6" s="15">
        <v>44135</v>
      </c>
      <c r="B6" s="23" t="s">
        <v>30</v>
      </c>
      <c r="C6" s="24">
        <v>31</v>
      </c>
      <c r="D6" s="17">
        <v>0</v>
      </c>
      <c r="E6" s="27">
        <v>4</v>
      </c>
      <c r="F6" s="40">
        <v>1</v>
      </c>
      <c r="G6" s="14">
        <v>2</v>
      </c>
    </row>
    <row r="7" spans="1:9" ht="21.75" customHeight="1" thickBot="1" x14ac:dyDescent="0.75">
      <c r="A7" s="29" t="s">
        <v>44</v>
      </c>
      <c r="B7" s="23" t="s">
        <v>38</v>
      </c>
      <c r="C7" s="24">
        <v>30</v>
      </c>
      <c r="D7" s="17">
        <v>0</v>
      </c>
      <c r="E7" s="27">
        <v>5</v>
      </c>
    </row>
    <row r="8" spans="1:9" ht="23.65" thickBot="1" x14ac:dyDescent="0.75">
      <c r="A8" s="20">
        <f>WEEKDAY(Month_Start)</f>
        <v>5</v>
      </c>
      <c r="B8" s="23" t="s">
        <v>39</v>
      </c>
      <c r="C8" s="24">
        <v>31</v>
      </c>
      <c r="D8" s="17">
        <v>0</v>
      </c>
      <c r="E8" s="27">
        <v>6</v>
      </c>
    </row>
    <row r="9" spans="1:9" ht="23.65" thickBot="1" x14ac:dyDescent="0.75">
      <c r="A9" s="39" t="s">
        <v>47</v>
      </c>
      <c r="B9" s="23" t="s">
        <v>40</v>
      </c>
      <c r="C9" s="24">
        <v>31</v>
      </c>
      <c r="D9" s="17">
        <v>0</v>
      </c>
      <c r="E9" s="28">
        <v>7</v>
      </c>
      <c r="H9" s="33"/>
    </row>
    <row r="10" spans="1:9" ht="23.65" thickBot="1" x14ac:dyDescent="0.75">
      <c r="A10" s="19" t="str">
        <f>F2&amp;G2&amp;H2&amp;I2</f>
        <v>2020</v>
      </c>
      <c r="B10" s="23" t="s">
        <v>31</v>
      </c>
      <c r="C10" s="24">
        <v>30</v>
      </c>
      <c r="D10" s="17">
        <v>0</v>
      </c>
      <c r="E10" s="27">
        <v>8</v>
      </c>
    </row>
    <row r="11" spans="1:9" ht="23.65" thickBot="1" x14ac:dyDescent="0.75">
      <c r="A11" s="29" t="s">
        <v>43</v>
      </c>
      <c r="B11" s="23" t="s">
        <v>32</v>
      </c>
      <c r="C11" s="24">
        <v>31</v>
      </c>
      <c r="D11" s="17">
        <v>1</v>
      </c>
      <c r="E11" s="27">
        <v>9</v>
      </c>
      <c r="G11" s="38"/>
    </row>
    <row r="12" spans="1:9" ht="23.65" thickBot="1" x14ac:dyDescent="0.75">
      <c r="A12" s="41"/>
      <c r="B12" s="23" t="s">
        <v>41</v>
      </c>
      <c r="C12" s="24">
        <v>30</v>
      </c>
      <c r="D12" s="17">
        <v>0</v>
      </c>
    </row>
    <row r="13" spans="1:9" ht="23.65" thickBot="1" x14ac:dyDescent="0.75">
      <c r="A13" s="29" t="s">
        <v>45</v>
      </c>
      <c r="B13" s="25" t="s">
        <v>42</v>
      </c>
      <c r="C13" s="26">
        <v>31</v>
      </c>
      <c r="D13" s="18">
        <v>0</v>
      </c>
      <c r="G13" s="36"/>
    </row>
    <row r="14" spans="1:9" ht="23.65" thickBot="1" x14ac:dyDescent="0.75">
      <c r="A14" s="41"/>
      <c r="B14" s="31" t="s">
        <v>132</v>
      </c>
      <c r="C14" s="17">
        <v>1</v>
      </c>
    </row>
    <row r="15" spans="1:9" ht="23.65" thickBot="1" x14ac:dyDescent="0.75"/>
    <row r="16" spans="1:9" ht="23.65" thickBot="1" x14ac:dyDescent="0.75">
      <c r="A16" s="93" t="s">
        <v>120</v>
      </c>
      <c r="B16" s="94"/>
      <c r="C16" s="94"/>
      <c r="D16" s="95"/>
      <c r="E16" s="56"/>
      <c r="F16" s="93" t="s">
        <v>126</v>
      </c>
      <c r="G16" s="94"/>
      <c r="H16" s="94"/>
      <c r="I16" s="95"/>
    </row>
    <row r="17" spans="1:9" x14ac:dyDescent="0.7">
      <c r="A17" s="58" t="s">
        <v>121</v>
      </c>
      <c r="B17" s="58"/>
      <c r="C17" s="58"/>
      <c r="D17" s="58"/>
      <c r="F17" s="58" t="s">
        <v>127</v>
      </c>
      <c r="G17" s="58">
        <v>0</v>
      </c>
      <c r="H17" s="58"/>
      <c r="I17" s="58"/>
    </row>
    <row r="18" spans="1:9" x14ac:dyDescent="0.7">
      <c r="A18" s="57" t="s">
        <v>122</v>
      </c>
      <c r="B18" s="57"/>
      <c r="C18" s="57"/>
      <c r="D18" s="57"/>
      <c r="F18" s="57" t="s">
        <v>130</v>
      </c>
      <c r="G18" s="57">
        <v>0</v>
      </c>
      <c r="H18" s="57"/>
      <c r="I18" s="57"/>
    </row>
    <row r="19" spans="1:9" x14ac:dyDescent="0.7">
      <c r="A19" s="57" t="s">
        <v>123</v>
      </c>
      <c r="B19" s="57"/>
      <c r="C19" s="57"/>
      <c r="D19" s="57"/>
      <c r="F19" s="57" t="s">
        <v>129</v>
      </c>
      <c r="G19" s="57">
        <v>0</v>
      </c>
      <c r="H19" s="57"/>
      <c r="I19" s="57"/>
    </row>
    <row r="20" spans="1:9" x14ac:dyDescent="0.7">
      <c r="A20" s="57" t="s">
        <v>124</v>
      </c>
      <c r="B20" s="57"/>
      <c r="C20" s="57" t="s">
        <v>125</v>
      </c>
      <c r="D20" s="57"/>
      <c r="F20" s="57" t="s">
        <v>128</v>
      </c>
      <c r="G20" s="57">
        <v>0</v>
      </c>
      <c r="H20" s="57"/>
      <c r="I20" s="57"/>
    </row>
    <row r="21" spans="1:9" x14ac:dyDescent="0.7">
      <c r="A21" s="57"/>
      <c r="B21" s="57"/>
      <c r="C21" s="57"/>
      <c r="D21" s="57"/>
      <c r="F21" s="57" t="s">
        <v>131</v>
      </c>
      <c r="G21" s="57">
        <v>0</v>
      </c>
      <c r="H21" s="57"/>
      <c r="I21" s="57"/>
    </row>
  </sheetData>
  <mergeCells count="6">
    <mergeCell ref="B1:C1"/>
    <mergeCell ref="F1:I1"/>
    <mergeCell ref="F3:I3"/>
    <mergeCell ref="F4:I4"/>
    <mergeCell ref="A16:D16"/>
    <mergeCell ref="F16:I1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7"/>
  <cols>
    <col min="1" max="1" width="11.58203125" style="13" customWidth="1"/>
    <col min="2" max="16384" width="8.6640625" style="13"/>
  </cols>
  <sheetData>
    <row r="1" spans="1:7" ht="23.65" thickBot="1" x14ac:dyDescent="0.75">
      <c r="A1" s="97" t="s">
        <v>60</v>
      </c>
      <c r="B1" s="98"/>
      <c r="C1" s="98"/>
      <c r="D1" s="98"/>
      <c r="E1" s="98"/>
      <c r="F1" s="98"/>
      <c r="G1" s="99"/>
    </row>
    <row r="2" spans="1:7" ht="23.65" thickBot="1" x14ac:dyDescent="0.75"/>
    <row r="3" spans="1:7" ht="23.65" thickBot="1" x14ac:dyDescent="0.75">
      <c r="A3" s="97" t="s">
        <v>59</v>
      </c>
      <c r="B3" s="98"/>
      <c r="C3" s="98"/>
      <c r="D3" s="98"/>
      <c r="E3" s="98"/>
      <c r="F3" s="98"/>
      <c r="G3" s="99"/>
    </row>
    <row r="4" spans="1:7" ht="23.65" thickBot="1" x14ac:dyDescent="0.75">
      <c r="A4" s="42"/>
      <c r="B4" s="42"/>
      <c r="C4" s="42"/>
      <c r="D4" s="42"/>
      <c r="E4" s="42"/>
      <c r="F4" s="42"/>
      <c r="G4" s="42"/>
    </row>
    <row r="5" spans="1:7" ht="23.65" thickBot="1" x14ac:dyDescent="0.75">
      <c r="A5" s="106" t="s">
        <v>73</v>
      </c>
      <c r="B5" s="105"/>
      <c r="C5" s="105" t="s">
        <v>61</v>
      </c>
      <c r="D5" s="105"/>
      <c r="E5" s="105" t="s">
        <v>62</v>
      </c>
      <c r="F5" s="105"/>
      <c r="G5" s="43" t="s">
        <v>94</v>
      </c>
    </row>
    <row r="6" spans="1:7" ht="23.65" thickTop="1" x14ac:dyDescent="0.7">
      <c r="A6" s="102" t="s">
        <v>54</v>
      </c>
      <c r="B6" s="102"/>
      <c r="C6" s="102" t="s">
        <v>68</v>
      </c>
      <c r="D6" s="102"/>
      <c r="E6" s="102" t="s">
        <v>63</v>
      </c>
      <c r="F6" s="102"/>
      <c r="G6" s="44" t="s">
        <v>95</v>
      </c>
    </row>
    <row r="7" spans="1:7" x14ac:dyDescent="0.7">
      <c r="A7" s="101" t="s">
        <v>55</v>
      </c>
      <c r="B7" s="101"/>
      <c r="C7" s="101" t="s">
        <v>69</v>
      </c>
      <c r="D7" s="101"/>
      <c r="E7" s="101" t="s">
        <v>64</v>
      </c>
      <c r="F7" s="101"/>
      <c r="G7" s="45" t="s">
        <v>95</v>
      </c>
    </row>
    <row r="8" spans="1:7" x14ac:dyDescent="0.7">
      <c r="A8" s="101" t="s">
        <v>56</v>
      </c>
      <c r="B8" s="101"/>
      <c r="C8" s="101" t="s">
        <v>70</v>
      </c>
      <c r="D8" s="101"/>
      <c r="E8" s="101" t="s">
        <v>65</v>
      </c>
      <c r="F8" s="101"/>
      <c r="G8" s="45" t="s">
        <v>95</v>
      </c>
    </row>
    <row r="9" spans="1:7" x14ac:dyDescent="0.7">
      <c r="A9" s="101" t="s">
        <v>57</v>
      </c>
      <c r="B9" s="101"/>
      <c r="C9" s="101" t="s">
        <v>71</v>
      </c>
      <c r="D9" s="101"/>
      <c r="E9" s="101" t="s">
        <v>66</v>
      </c>
      <c r="F9" s="101"/>
      <c r="G9" s="45" t="s">
        <v>95</v>
      </c>
    </row>
    <row r="10" spans="1:7" x14ac:dyDescent="0.7">
      <c r="A10" s="101" t="s">
        <v>58</v>
      </c>
      <c r="B10" s="101"/>
      <c r="C10" s="101" t="s">
        <v>72</v>
      </c>
      <c r="D10" s="101"/>
      <c r="E10" s="101" t="s">
        <v>67</v>
      </c>
      <c r="F10" s="101"/>
      <c r="G10" s="45" t="s">
        <v>95</v>
      </c>
    </row>
    <row r="11" spans="1:7" x14ac:dyDescent="0.7">
      <c r="A11" s="101" t="s">
        <v>76</v>
      </c>
      <c r="B11" s="101"/>
      <c r="C11" s="101" t="s">
        <v>78</v>
      </c>
      <c r="D11" s="101"/>
      <c r="E11" s="101" t="s">
        <v>77</v>
      </c>
      <c r="F11" s="101"/>
      <c r="G11" s="45" t="s">
        <v>96</v>
      </c>
    </row>
    <row r="12" spans="1:7" x14ac:dyDescent="0.7">
      <c r="A12" s="101" t="s">
        <v>75</v>
      </c>
      <c r="B12" s="101"/>
      <c r="C12" s="101" t="s">
        <v>89</v>
      </c>
      <c r="D12" s="101"/>
      <c r="E12" s="101" t="s">
        <v>87</v>
      </c>
      <c r="F12" s="101"/>
      <c r="G12" s="45" t="s">
        <v>97</v>
      </c>
    </row>
    <row r="13" spans="1:7" x14ac:dyDescent="0.7">
      <c r="A13" s="101" t="s">
        <v>74</v>
      </c>
      <c r="B13" s="101"/>
      <c r="C13" s="101" t="s">
        <v>90</v>
      </c>
      <c r="D13" s="101"/>
      <c r="E13" s="101" t="s">
        <v>88</v>
      </c>
      <c r="F13" s="101"/>
      <c r="G13" s="45" t="s">
        <v>97</v>
      </c>
    </row>
    <row r="14" spans="1:7" ht="23.65" thickBot="1" x14ac:dyDescent="0.75"/>
    <row r="15" spans="1:7" ht="23.65" thickBot="1" x14ac:dyDescent="0.75">
      <c r="A15" s="97" t="s">
        <v>93</v>
      </c>
      <c r="B15" s="98"/>
      <c r="C15" s="98"/>
      <c r="D15" s="98"/>
      <c r="E15" s="98"/>
      <c r="F15" s="98"/>
      <c r="G15" s="99"/>
    </row>
    <row r="16" spans="1:7" ht="23.65" thickBot="1" x14ac:dyDescent="0.75">
      <c r="A16" s="42"/>
      <c r="B16" s="42"/>
      <c r="C16" s="42"/>
      <c r="D16" s="42"/>
      <c r="E16" s="42"/>
      <c r="F16" s="42"/>
      <c r="G16" s="42"/>
    </row>
    <row r="17" spans="1:7" ht="23.65" thickBot="1" x14ac:dyDescent="0.75">
      <c r="A17" s="103" t="s">
        <v>73</v>
      </c>
      <c r="B17" s="104"/>
      <c r="C17" s="104" t="s">
        <v>61</v>
      </c>
      <c r="D17" s="104"/>
      <c r="E17" s="104" t="s">
        <v>62</v>
      </c>
      <c r="F17" s="104"/>
      <c r="G17" s="43" t="s">
        <v>94</v>
      </c>
    </row>
    <row r="18" spans="1:7" ht="23.65" thickTop="1" x14ac:dyDescent="0.7">
      <c r="A18" s="102" t="s">
        <v>79</v>
      </c>
      <c r="B18" s="102"/>
      <c r="C18" s="102" t="s">
        <v>81</v>
      </c>
      <c r="D18" s="102"/>
      <c r="E18" s="102" t="s">
        <v>80</v>
      </c>
      <c r="F18" s="102"/>
      <c r="G18" s="44" t="s">
        <v>95</v>
      </c>
    </row>
    <row r="19" spans="1:7" x14ac:dyDescent="0.7">
      <c r="A19" s="101" t="s">
        <v>82</v>
      </c>
      <c r="B19" s="101"/>
      <c r="C19" s="101" t="s">
        <v>119</v>
      </c>
      <c r="D19" s="101"/>
      <c r="E19" s="101" t="s">
        <v>83</v>
      </c>
      <c r="F19" s="101"/>
      <c r="G19" s="45" t="s">
        <v>96</v>
      </c>
    </row>
    <row r="20" spans="1:7" x14ac:dyDescent="0.7">
      <c r="A20" s="101" t="s">
        <v>84</v>
      </c>
      <c r="B20" s="101"/>
      <c r="C20" s="101" t="s">
        <v>85</v>
      </c>
      <c r="D20" s="101"/>
      <c r="E20" s="101" t="s">
        <v>86</v>
      </c>
      <c r="F20" s="101"/>
      <c r="G20" s="45" t="s">
        <v>96</v>
      </c>
    </row>
    <row r="21" spans="1:7" x14ac:dyDescent="0.7">
      <c r="A21" s="101" t="s">
        <v>91</v>
      </c>
      <c r="B21" s="101"/>
      <c r="C21" s="101" t="s">
        <v>92</v>
      </c>
      <c r="D21" s="101"/>
      <c r="E21" s="101" t="s">
        <v>98</v>
      </c>
      <c r="F21" s="101"/>
      <c r="G21" s="45" t="s">
        <v>97</v>
      </c>
    </row>
    <row r="22" spans="1:7" ht="23.65" thickBot="1" x14ac:dyDescent="0.75">
      <c r="A22" s="100"/>
      <c r="B22" s="100"/>
      <c r="C22" s="100"/>
      <c r="D22" s="100"/>
      <c r="E22" s="100"/>
      <c r="F22" s="100"/>
      <c r="G22" s="46"/>
    </row>
    <row r="23" spans="1:7" ht="23.65" thickBot="1" x14ac:dyDescent="0.75">
      <c r="A23" s="97" t="s">
        <v>99</v>
      </c>
      <c r="B23" s="98"/>
      <c r="C23" s="98"/>
      <c r="D23" s="98"/>
      <c r="E23" s="98"/>
      <c r="F23" s="98"/>
      <c r="G23" s="99"/>
    </row>
    <row r="25" spans="1:7" x14ac:dyDescent="0.7">
      <c r="A25" s="96" t="s">
        <v>100</v>
      </c>
      <c r="B25" s="96"/>
      <c r="C25" s="96" t="s">
        <v>101</v>
      </c>
      <c r="D25" s="96"/>
      <c r="E25" s="96"/>
      <c r="F25" s="13" t="s">
        <v>105</v>
      </c>
      <c r="G25" s="13" t="s">
        <v>106</v>
      </c>
    </row>
    <row r="26" spans="1:7" x14ac:dyDescent="0.7">
      <c r="A26" s="96" t="s">
        <v>103</v>
      </c>
      <c r="B26" s="96"/>
      <c r="C26" s="96" t="s">
        <v>104</v>
      </c>
      <c r="D26" s="96"/>
      <c r="E26" s="96"/>
      <c r="F26" s="46" t="s">
        <v>107</v>
      </c>
      <c r="G26" s="46" t="s">
        <v>96</v>
      </c>
    </row>
    <row r="27" spans="1:7" x14ac:dyDescent="0.7">
      <c r="A27" s="96" t="s">
        <v>102</v>
      </c>
      <c r="B27" s="96"/>
      <c r="C27" s="96"/>
      <c r="D27" s="96"/>
      <c r="E27" s="96"/>
      <c r="F27" s="96"/>
      <c r="G27" s="96"/>
    </row>
    <row r="28" spans="1:7" x14ac:dyDescent="0.7">
      <c r="A28" s="46" t="s">
        <v>111</v>
      </c>
      <c r="B28" s="46" t="s">
        <v>112</v>
      </c>
      <c r="C28" s="96" t="s">
        <v>113</v>
      </c>
      <c r="D28" s="96"/>
      <c r="E28" s="96"/>
      <c r="F28" s="96"/>
      <c r="G28" s="96"/>
    </row>
    <row r="29" spans="1:7" x14ac:dyDescent="0.7">
      <c r="A29" s="13" t="s">
        <v>108</v>
      </c>
      <c r="B29" s="13" t="s">
        <v>114</v>
      </c>
      <c r="C29" s="96" t="s">
        <v>109</v>
      </c>
      <c r="D29" s="96"/>
      <c r="E29" s="96"/>
      <c r="F29" s="96"/>
      <c r="G29" s="96"/>
    </row>
    <row r="30" spans="1:7" x14ac:dyDescent="0.7">
      <c r="A30" s="96" t="s">
        <v>110</v>
      </c>
      <c r="B30" s="96"/>
      <c r="C30" s="96"/>
      <c r="D30" s="96"/>
      <c r="E30" s="96"/>
      <c r="F30" s="96"/>
      <c r="G30" s="96"/>
    </row>
    <row r="31" spans="1:7" x14ac:dyDescent="0.7">
      <c r="A31" s="13" t="s">
        <v>111</v>
      </c>
      <c r="B31" s="13" t="s">
        <v>112</v>
      </c>
    </row>
    <row r="32" spans="1:7" x14ac:dyDescent="0.7">
      <c r="A32" s="13" t="s">
        <v>117</v>
      </c>
      <c r="B32" s="13" t="s">
        <v>114</v>
      </c>
    </row>
    <row r="33" spans="1:2" x14ac:dyDescent="0.7">
      <c r="A33" s="13" t="s">
        <v>115</v>
      </c>
      <c r="B33" s="13" t="s">
        <v>96</v>
      </c>
    </row>
    <row r="34" spans="1:2" x14ac:dyDescent="0.7">
      <c r="A34" s="13" t="s">
        <v>118</v>
      </c>
    </row>
    <row r="35" spans="1:2" x14ac:dyDescent="0.7">
      <c r="A35" s="13" t="s">
        <v>116</v>
      </c>
      <c r="B35" s="13" t="s">
        <v>96</v>
      </c>
    </row>
  </sheetData>
  <mergeCells count="57"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  <mergeCell ref="A1:G1"/>
    <mergeCell ref="C5:D5"/>
    <mergeCell ref="E5:F5"/>
    <mergeCell ref="C6:D6"/>
    <mergeCell ref="C7:D7"/>
    <mergeCell ref="A11:B11"/>
    <mergeCell ref="C11:D11"/>
    <mergeCell ref="E11:F11"/>
    <mergeCell ref="A12:B12"/>
    <mergeCell ref="C12:D12"/>
    <mergeCell ref="E12:F12"/>
    <mergeCell ref="A13:B13"/>
    <mergeCell ref="C13:D13"/>
    <mergeCell ref="E13:F13"/>
    <mergeCell ref="A15:G15"/>
    <mergeCell ref="A17:B17"/>
    <mergeCell ref="C17:D17"/>
    <mergeCell ref="E17:F17"/>
    <mergeCell ref="A18:B18"/>
    <mergeCell ref="C18:D18"/>
    <mergeCell ref="E18:F18"/>
    <mergeCell ref="A19:B19"/>
    <mergeCell ref="C19:D19"/>
    <mergeCell ref="E19:F19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Start Page</vt:lpstr>
      <vt:lpstr>Tote Sort Schedule</vt:lpstr>
      <vt:lpstr>EPREF</vt:lpstr>
      <vt:lpstr>App Data</vt:lpstr>
      <vt:lpstr>cal_start</vt:lpstr>
      <vt:lpstr>Calendar</vt:lpstr>
      <vt:lpstr>Date_Code</vt:lpstr>
      <vt:lpstr>emp_count</vt:lpstr>
      <vt:lpstr>list_seg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Jonathan Tyra</cp:lastModifiedBy>
  <cp:lastPrinted>2018-12-01T07:27:34Z</cp:lastPrinted>
  <dcterms:created xsi:type="dcterms:W3CDTF">2018-11-25T05:52:35Z</dcterms:created>
  <dcterms:modified xsi:type="dcterms:W3CDTF">2018-12-25T09:48:03Z</dcterms:modified>
</cp:coreProperties>
</file>