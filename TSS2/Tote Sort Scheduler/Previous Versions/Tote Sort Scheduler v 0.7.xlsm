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cq5lxr\Desktop\"/>
    </mc:Choice>
  </mc:AlternateContent>
  <bookViews>
    <workbookView xWindow="0" yWindow="0" windowWidth="19170" windowHeight="11355" tabRatio="707" activeTab="2"/>
  </bookViews>
  <sheets>
    <sheet name="Start Page" sheetId="4" r:id="rId1"/>
    <sheet name="Employee Preferences" sheetId="1" r:id="rId2"/>
    <sheet name="EE_PREF_DB" sheetId="6" r:id="rId3"/>
    <sheet name="Tote Sort Schedule" sheetId="2" r:id="rId4"/>
    <sheet name="App Data" sheetId="3" r:id="rId5"/>
    <sheet name="Employee Class Description" sheetId="5" r:id="rId6"/>
  </sheets>
  <functionGroups builtInGroupCount="18"/>
  <definedNames>
    <definedName name="cal_start">'App Data'!$A$8</definedName>
    <definedName name="Date_Code">'App Data'!$A$2</definedName>
    <definedName name="emp_count">'App Data'!$F$4</definedName>
    <definedName name="list_seg">'App Data'!$G$6</definedName>
    <definedName name="month_end">'App Data'!$A$6</definedName>
    <definedName name="month_name">'App Data'!$F$4</definedName>
    <definedName name="Month_Start">'App Data'!$A$4</definedName>
    <definedName name="pindex">'App Data'!$G$6</definedName>
    <definedName name="stp_chk">'App Data'!$F$6</definedName>
    <definedName name="year">'App Data'!$A$10</definedName>
    <definedName name="year_box">'App Data'!$E$2:$E$11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/>
  <c r="D20" i="1"/>
  <c r="E20" i="1"/>
  <c r="F20" i="1"/>
  <c r="B20" i="1"/>
  <c r="A14" i="3" l="1"/>
  <c r="A12" i="3"/>
  <c r="F4" i="3" l="1"/>
  <c r="A1" i="2" l="1"/>
  <c r="A10" i="3"/>
  <c r="A8" i="3"/>
  <c r="A2" i="3"/>
</calcChain>
</file>

<file path=xl/sharedStrings.xml><?xml version="1.0" encoding="utf-8"?>
<sst xmlns="http://schemas.openxmlformats.org/spreadsheetml/2006/main" count="196" uniqueCount="140">
  <si>
    <t>Name</t>
  </si>
  <si>
    <t xml:space="preserve">Mon </t>
  </si>
  <si>
    <t>Tue</t>
  </si>
  <si>
    <t>Wed</t>
  </si>
  <si>
    <t>Thur</t>
  </si>
  <si>
    <t>Fri</t>
  </si>
  <si>
    <t>Double</t>
  </si>
  <si>
    <t>Jon Tyra</t>
  </si>
  <si>
    <t>Dan Childers</t>
  </si>
  <si>
    <t>John Lusky</t>
  </si>
  <si>
    <t>Brittany Keown</t>
  </si>
  <si>
    <t>Zo Smiley</t>
  </si>
  <si>
    <t>Lisa Thomas</t>
  </si>
  <si>
    <t>John Sipes</t>
  </si>
  <si>
    <t>Treneard Thompson</t>
  </si>
  <si>
    <t>Tyler Hobbs</t>
  </si>
  <si>
    <t>Glen Amante</t>
  </si>
  <si>
    <t>Conor King</t>
  </si>
  <si>
    <t>Joe Hazelip</t>
  </si>
  <si>
    <t>Angela Walton</t>
  </si>
  <si>
    <t>Troy Netherton</t>
  </si>
  <si>
    <t>Jonathan Ladrillono</t>
  </si>
  <si>
    <t>To Create Preferences</t>
  </si>
  <si>
    <t>Double In Preceding Month</t>
  </si>
  <si>
    <t xml:space="preserve">Sun </t>
  </si>
  <si>
    <t>Mon</t>
  </si>
  <si>
    <t>Sat</t>
  </si>
  <si>
    <t>Alex Pack</t>
  </si>
  <si>
    <t>Place 0 in box to exclude opt</t>
  </si>
  <si>
    <t>Place 1 in box to include day</t>
  </si>
  <si>
    <t>Ramzi Khodor</t>
  </si>
  <si>
    <t>Lisa Soto Olvey</t>
  </si>
  <si>
    <t>Date Code</t>
  </si>
  <si>
    <t>Days In Month</t>
  </si>
  <si>
    <t>May</t>
  </si>
  <si>
    <t>Sept</t>
  </si>
  <si>
    <t>Oct</t>
  </si>
  <si>
    <t>Current Month</t>
  </si>
  <si>
    <t>January</t>
  </si>
  <si>
    <t>February</t>
  </si>
  <si>
    <t>March</t>
  </si>
  <si>
    <t>April</t>
  </si>
  <si>
    <t>June</t>
  </si>
  <si>
    <t>July</t>
  </si>
  <si>
    <t>August</t>
  </si>
  <si>
    <t>November</t>
  </si>
  <si>
    <t>December</t>
  </si>
  <si>
    <t>Month Start Date Code</t>
  </si>
  <si>
    <t>Calendar Start Index</t>
  </si>
  <si>
    <t>Month End Date Code</t>
  </si>
  <si>
    <t>Drop Down Box Values</t>
  </si>
  <si>
    <t>Year</t>
  </si>
  <si>
    <t>2</t>
  </si>
  <si>
    <t>0</t>
  </si>
  <si>
    <t>Step 1 - Setup Month Date</t>
  </si>
  <si>
    <t>Step 3 - Generate Calendar</t>
  </si>
  <si>
    <t xml:space="preserve">Step 2 - Input Employee Preferences </t>
  </si>
  <si>
    <t>Number of Employees</t>
  </si>
  <si>
    <t>Used Count</t>
  </si>
  <si>
    <t>Step 1</t>
  </si>
  <si>
    <t>Prev Index</t>
  </si>
  <si>
    <t>Poop</t>
  </si>
  <si>
    <t>Tote Sort Scheduler v 0.7</t>
  </si>
  <si>
    <t>1</t>
  </si>
  <si>
    <t>9</t>
  </si>
  <si>
    <t>Pref of Work on Mon</t>
  </si>
  <si>
    <t>Pref of Work on Tue</t>
  </si>
  <si>
    <t>Pref of Work on Wed</t>
  </si>
  <si>
    <t>Pref of Work on Thur</t>
  </si>
  <si>
    <t>Pref of Work on Fri</t>
  </si>
  <si>
    <t xml:space="preserve"> Class Properties</t>
  </si>
  <si>
    <t>Employee Class</t>
  </si>
  <si>
    <t>Internal Var Name</t>
  </si>
  <si>
    <t>External Var Name</t>
  </si>
  <si>
    <t>Work_Mon</t>
  </si>
  <si>
    <t>Work_Tue</t>
  </si>
  <si>
    <t>Work_Wed</t>
  </si>
  <si>
    <t>Work_Thur</t>
  </si>
  <si>
    <t>Work_Fri</t>
  </si>
  <si>
    <t>workmon</t>
  </si>
  <si>
    <t>worktue</t>
  </si>
  <si>
    <t>workwed</t>
  </si>
  <si>
    <t>workthur</t>
  </si>
  <si>
    <t>workfri</t>
  </si>
  <si>
    <t>Short Description</t>
  </si>
  <si>
    <t>Employee Name</t>
  </si>
  <si>
    <t>Employee Email</t>
  </si>
  <si>
    <t>Pref to Work Twice</t>
  </si>
  <si>
    <t>EMP_DBL</t>
  </si>
  <si>
    <t>DSCH</t>
  </si>
  <si>
    <t>Number of  Times Used</t>
  </si>
  <si>
    <t>EMP_USE</t>
  </si>
  <si>
    <t>USETIME</t>
  </si>
  <si>
    <t>Used in Current Week</t>
  </si>
  <si>
    <t>EMP_CWK</t>
  </si>
  <si>
    <t>Prev Month Double</t>
  </si>
  <si>
    <t>PMDOUBLE</t>
  </si>
  <si>
    <t>EMP_PMD</t>
  </si>
  <si>
    <t>EMP_EMAIL</t>
  </si>
  <si>
    <t>EMP_NAME</t>
  </si>
  <si>
    <t>EEMAIL</t>
  </si>
  <si>
    <t>EENAME</t>
  </si>
  <si>
    <t>Weekend Exception</t>
  </si>
  <si>
    <t>wkd_flag</t>
  </si>
  <si>
    <t>Control Flags</t>
  </si>
  <si>
    <t>V TYPE</t>
  </si>
  <si>
    <t>Long</t>
  </si>
  <si>
    <t>Int</t>
  </si>
  <si>
    <t>String</t>
  </si>
  <si>
    <t>EMP_WKND</t>
  </si>
  <si>
    <t>Methods</t>
  </si>
  <si>
    <t>Function Name</t>
  </si>
  <si>
    <t>Purpose</t>
  </si>
  <si>
    <t>Parameters</t>
  </si>
  <si>
    <t>Ell()</t>
  </si>
  <si>
    <t>Determines EE Eligability</t>
  </si>
  <si>
    <t>Return Value</t>
  </si>
  <si>
    <t>Return Type</t>
  </si>
  <si>
    <t>0,1,2</t>
  </si>
  <si>
    <t>DAY</t>
  </si>
  <si>
    <t>Day to Check as DateCode or Date</t>
  </si>
  <si>
    <t>Control Vars</t>
  </si>
  <si>
    <t xml:space="preserve">Name </t>
  </si>
  <si>
    <t>Type</t>
  </si>
  <si>
    <t>Description</t>
  </si>
  <si>
    <t>Single</t>
  </si>
  <si>
    <t>cDay</t>
  </si>
  <si>
    <t>Weekend</t>
  </si>
  <si>
    <t>el_flag</t>
  </si>
  <si>
    <t>day_flag</t>
  </si>
  <si>
    <t>cwk_flag</t>
  </si>
  <si>
    <t>NO SORT</t>
  </si>
  <si>
    <t>No Match Found</t>
  </si>
  <si>
    <t>Email</t>
  </si>
  <si>
    <t>mon</t>
  </si>
  <si>
    <t>tue</t>
  </si>
  <si>
    <t>wed</t>
  </si>
  <si>
    <t>thur</t>
  </si>
  <si>
    <t>fri</t>
  </si>
  <si>
    <t>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</si>
</sst>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-yy;@"/>
  </numFmts>
  <fonts count="9" x14ac:knownFonts="1"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ourier New"/>
      <family val="3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8"/>
      <color rgb="FFFF0000"/>
      <name val="Calibri"/>
      <family val="2"/>
      <scheme val="minor"/>
    </font>
    <font>
      <sz val="18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0" borderId="2" xfId="0" applyFont="1" applyBorder="1"/>
    <xf numFmtId="0" fontId="1" fillId="0" borderId="3" xfId="0" applyFont="1" applyBorder="1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3" borderId="15" xfId="0" applyFill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0" fillId="0" borderId="0" xfId="0" applyAlignment="1">
      <alignment shrinkToFit="1"/>
    </xf>
    <xf numFmtId="0" fontId="0" fillId="6" borderId="25" xfId="0" applyNumberFormat="1" applyFill="1" applyBorder="1" applyAlignment="1">
      <alignment horizontal="center" shrinkToFit="1"/>
    </xf>
    <xf numFmtId="0" fontId="0" fillId="6" borderId="27" xfId="0" applyNumberFormat="1" applyFill="1" applyBorder="1" applyAlignment="1">
      <alignment horizontal="center" shrinkToFit="1"/>
    </xf>
    <xf numFmtId="0" fontId="0" fillId="6" borderId="36" xfId="0" applyFill="1" applyBorder="1" applyAlignment="1">
      <alignment horizontal="center" shrinkToFit="1"/>
    </xf>
    <xf numFmtId="0" fontId="0" fillId="6" borderId="41" xfId="0" applyFill="1" applyBorder="1" applyAlignment="1">
      <alignment horizontal="center" shrinkToFit="1"/>
    </xf>
    <xf numFmtId="0" fontId="0" fillId="6" borderId="37" xfId="0" applyFill="1" applyBorder="1" applyAlignment="1">
      <alignment horizontal="center" shrinkToFit="1"/>
    </xf>
    <xf numFmtId="0" fontId="0" fillId="5" borderId="25" xfId="0" applyNumberFormat="1" applyFill="1" applyBorder="1" applyAlignment="1">
      <alignment horizontal="center" shrinkToFit="1"/>
    </xf>
    <xf numFmtId="0" fontId="0" fillId="7" borderId="9" xfId="0" applyFill="1" applyBorder="1"/>
    <xf numFmtId="0" fontId="0" fillId="7" borderId="0" xfId="0" applyFill="1" applyBorder="1"/>
    <xf numFmtId="0" fontId="0" fillId="7" borderId="10" xfId="0" applyFill="1" applyBorder="1"/>
    <xf numFmtId="0" fontId="0" fillId="7" borderId="32" xfId="0" applyFill="1" applyBorder="1"/>
    <xf numFmtId="0" fontId="0" fillId="7" borderId="33" xfId="0" applyFill="1" applyBorder="1"/>
    <xf numFmtId="0" fontId="0" fillId="7" borderId="34" xfId="0" applyFill="1" applyBorder="1"/>
    <xf numFmtId="0" fontId="0" fillId="5" borderId="27" xfId="0" applyFill="1" applyBorder="1" applyAlignment="1">
      <alignment horizontal="center" shrinkToFit="1"/>
    </xf>
    <xf numFmtId="0" fontId="0" fillId="10" borderId="15" xfId="0" applyFill="1" applyBorder="1" applyAlignment="1">
      <alignment shrinkToFit="1"/>
    </xf>
    <xf numFmtId="0" fontId="0" fillId="10" borderId="39" xfId="0" applyFill="1" applyBorder="1" applyAlignment="1">
      <alignment horizontal="center" shrinkToFit="1"/>
    </xf>
    <xf numFmtId="0" fontId="0" fillId="10" borderId="11" xfId="0" applyFill="1" applyBorder="1" applyAlignment="1">
      <alignment shrinkToFit="1"/>
    </xf>
    <xf numFmtId="0" fontId="0" fillId="10" borderId="28" xfId="0" applyFill="1" applyBorder="1" applyAlignment="1">
      <alignment horizontal="center" shrinkToFit="1"/>
    </xf>
    <xf numFmtId="0" fontId="0" fillId="10" borderId="35" xfId="0" applyFill="1" applyBorder="1" applyAlignment="1">
      <alignment shrinkToFit="1"/>
    </xf>
    <xf numFmtId="0" fontId="0" fillId="10" borderId="40" xfId="0" applyFill="1" applyBorder="1" applyAlignment="1">
      <alignment horizontal="center" shrinkToFit="1"/>
    </xf>
    <xf numFmtId="0" fontId="0" fillId="10" borderId="25" xfId="0" applyFill="1" applyBorder="1" applyAlignment="1">
      <alignment horizontal="center" shrinkToFit="1"/>
    </xf>
    <xf numFmtId="0" fontId="0" fillId="10" borderId="42" xfId="0" applyFill="1" applyBorder="1" applyAlignment="1">
      <alignment horizontal="center" shrinkToFit="1"/>
    </xf>
    <xf numFmtId="0" fontId="0" fillId="11" borderId="25" xfId="0" applyFill="1" applyBorder="1" applyAlignment="1">
      <alignment shrinkToFit="1"/>
    </xf>
    <xf numFmtId="0" fontId="0" fillId="11" borderId="26" xfId="0" applyFont="1" applyFill="1" applyBorder="1" applyAlignment="1">
      <alignment shrinkToFit="1"/>
    </xf>
    <xf numFmtId="0" fontId="0" fillId="11" borderId="25" xfId="0" applyFont="1" applyFill="1" applyBorder="1" applyAlignment="1">
      <alignment shrinkToFit="1"/>
    </xf>
    <xf numFmtId="0" fontId="0" fillId="11" borderId="25" xfId="0" applyFont="1" applyFill="1" applyBorder="1" applyAlignment="1">
      <alignment horizontal="center" shrinkToFit="1"/>
    </xf>
    <xf numFmtId="0" fontId="0" fillId="0" borderId="0" xfId="0" applyFill="1" applyAlignment="1">
      <alignment shrinkToFit="1"/>
    </xf>
    <xf numFmtId="0" fontId="0" fillId="12" borderId="0" xfId="0" applyFill="1"/>
    <xf numFmtId="0" fontId="0" fillId="0" borderId="25" xfId="0" applyBorder="1" applyAlignment="1">
      <alignment horizontal="center" shrinkToFit="1"/>
    </xf>
    <xf numFmtId="2" fontId="0" fillId="0" borderId="0" xfId="0" applyNumberFormat="1" applyAlignment="1">
      <alignment shrinkToFit="1"/>
    </xf>
    <xf numFmtId="0" fontId="0" fillId="0" borderId="26" xfId="0" applyBorder="1" applyAlignment="1">
      <alignment shrinkToFit="1"/>
    </xf>
    <xf numFmtId="0" fontId="0" fillId="0" borderId="0" xfId="0" applyNumberFormat="1" applyAlignment="1">
      <alignment horizontal="center" shrinkToFit="1"/>
    </xf>
    <xf numFmtId="0" fontId="0" fillId="11" borderId="26" xfId="0" applyFill="1" applyBorder="1" applyAlignment="1">
      <alignment horizontal="center" shrinkToFit="1"/>
    </xf>
    <xf numFmtId="0" fontId="0" fillId="6" borderId="25" xfId="0" applyFill="1" applyBorder="1" applyAlignment="1">
      <alignment horizontal="center" shrinkToFit="1"/>
    </xf>
    <xf numFmtId="14" fontId="0" fillId="6" borderId="27" xfId="0" applyNumberFormat="1" applyFill="1" applyBorder="1" applyAlignment="1">
      <alignment horizontal="center" shrinkToFit="1"/>
    </xf>
    <xf numFmtId="0" fontId="1" fillId="0" borderId="0" xfId="0" applyFont="1" applyFill="1" applyBorder="1"/>
    <xf numFmtId="0" fontId="0" fillId="0" borderId="0" xfId="0" applyBorder="1" applyAlignment="1">
      <alignment horizontal="center" shrinkToFit="1"/>
    </xf>
    <xf numFmtId="0" fontId="0" fillId="0" borderId="45" xfId="0" applyBorder="1" applyAlignment="1">
      <alignment horizontal="center" shrinkToFit="1"/>
    </xf>
    <xf numFmtId="0" fontId="0" fillId="0" borderId="46" xfId="0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5" fillId="8" borderId="5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32" xfId="0" applyFont="1" applyFill="1" applyBorder="1" applyAlignment="1">
      <alignment horizontal="center" vertical="center"/>
    </xf>
    <xf numFmtId="0" fontId="5" fillId="8" borderId="33" xfId="0" applyFont="1" applyFill="1" applyBorder="1" applyAlignment="1">
      <alignment horizontal="center" vertical="center"/>
    </xf>
    <xf numFmtId="0" fontId="5" fillId="8" borderId="34" xfId="0" applyFont="1" applyFill="1" applyBorder="1" applyAlignment="1">
      <alignment horizontal="center" vertical="center"/>
    </xf>
    <xf numFmtId="0" fontId="8" fillId="9" borderId="29" xfId="0" applyFont="1" applyFill="1" applyBorder="1" applyAlignment="1">
      <alignment horizontal="center"/>
    </xf>
    <xf numFmtId="0" fontId="8" fillId="9" borderId="30" xfId="0" applyFont="1" applyFill="1" applyBorder="1" applyAlignment="1">
      <alignment horizontal="center"/>
    </xf>
    <xf numFmtId="0" fontId="8" fillId="9" borderId="31" xfId="0" applyFont="1" applyFill="1" applyBorder="1" applyAlignment="1">
      <alignment horizontal="center"/>
    </xf>
    <xf numFmtId="0" fontId="0" fillId="0" borderId="1" xfId="0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164" fontId="5" fillId="0" borderId="5" xfId="0" applyNumberFormat="1" applyFont="1" applyBorder="1" applyAlignment="1">
      <alignment horizontal="center" vertical="center"/>
    </xf>
    <xf numFmtId="164" fontId="5" fillId="0" borderId="6" xfId="0" applyNumberFormat="1" applyFont="1" applyBorder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164" fontId="5" fillId="0" borderId="9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0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4" borderId="21" xfId="0" applyFill="1" applyBorder="1" applyAlignment="1">
      <alignment horizontal="center" vertical="center" wrapText="1"/>
    </xf>
    <xf numFmtId="0" fontId="0" fillId="4" borderId="22" xfId="0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0" fontId="0" fillId="4" borderId="24" xfId="0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11" borderId="18" xfId="0" applyFont="1" applyFill="1" applyBorder="1" applyAlignment="1">
      <alignment horizontal="center" shrinkToFit="1"/>
    </xf>
    <xf numFmtId="0" fontId="0" fillId="11" borderId="38" xfId="0" applyFont="1" applyFill="1" applyBorder="1" applyAlignment="1">
      <alignment horizontal="center" shrinkToFit="1"/>
    </xf>
    <xf numFmtId="0" fontId="0" fillId="11" borderId="29" xfId="0" applyFont="1" applyFill="1" applyBorder="1" applyAlignment="1">
      <alignment horizontal="center" shrinkToFit="1"/>
    </xf>
    <xf numFmtId="0" fontId="0" fillId="11" borderId="30" xfId="0" applyFont="1" applyFill="1" applyBorder="1" applyAlignment="1">
      <alignment horizontal="center" shrinkToFit="1"/>
    </xf>
    <xf numFmtId="0" fontId="0" fillId="11" borderId="31" xfId="0" applyFont="1" applyFill="1" applyBorder="1" applyAlignment="1">
      <alignment horizontal="center" shrinkToFit="1"/>
    </xf>
    <xf numFmtId="0" fontId="0" fillId="0" borderId="5" xfId="0" applyFill="1" applyBorder="1" applyAlignment="1">
      <alignment horizontal="center" shrinkToFit="1"/>
    </xf>
    <xf numFmtId="0" fontId="0" fillId="0" borderId="6" xfId="0" applyFill="1" applyBorder="1" applyAlignment="1">
      <alignment horizontal="center" shrinkToFit="1"/>
    </xf>
    <xf numFmtId="0" fontId="0" fillId="0" borderId="7" xfId="0" applyFill="1" applyBorder="1" applyAlignment="1">
      <alignment horizontal="center" shrinkToFit="1"/>
    </xf>
    <xf numFmtId="0" fontId="0" fillId="6" borderId="29" xfId="0" applyFill="1" applyBorder="1" applyAlignment="1">
      <alignment horizontal="center" shrinkToFit="1"/>
    </xf>
    <xf numFmtId="0" fontId="0" fillId="6" borderId="30" xfId="0" applyFill="1" applyBorder="1" applyAlignment="1">
      <alignment horizontal="center" shrinkToFit="1"/>
    </xf>
    <xf numFmtId="0" fontId="0" fillId="6" borderId="31" xfId="0" applyFill="1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0" fontId="0" fillId="0" borderId="29" xfId="0" applyBorder="1" applyAlignment="1">
      <alignment horizontal="center" shrinkToFit="1"/>
    </xf>
    <xf numFmtId="0" fontId="0" fillId="0" borderId="30" xfId="0" applyBorder="1" applyAlignment="1">
      <alignment horizontal="center" shrinkToFit="1"/>
    </xf>
    <xf numFmtId="0" fontId="0" fillId="0" borderId="31" xfId="0" applyBorder="1" applyAlignment="1">
      <alignment horizontal="center" shrinkToFit="1"/>
    </xf>
    <xf numFmtId="0" fontId="0" fillId="0" borderId="46" xfId="0" applyBorder="1" applyAlignment="1">
      <alignment horizontal="center" vertical="center" shrinkToFit="1"/>
    </xf>
    <xf numFmtId="0" fontId="0" fillId="0" borderId="43" xfId="0" applyBorder="1" applyAlignment="1">
      <alignment horizontal="center" shrinkToFit="1"/>
    </xf>
    <xf numFmtId="0" fontId="0" fillId="0" borderId="44" xfId="0" applyBorder="1" applyAlignment="1">
      <alignment horizontal="center" shrinkToFit="1"/>
    </xf>
    <xf numFmtId="0" fontId="0" fillId="0" borderId="43" xfId="0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5</xdr:row>
          <xdr:rowOff>209550</xdr:rowOff>
        </xdr:from>
        <xdr:to>
          <xdr:col>11</xdr:col>
          <xdr:colOff>1352550</xdr:colOff>
          <xdr:row>7</xdr:row>
          <xdr:rowOff>276225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Sheet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1</xdr:row>
          <xdr:rowOff>171450</xdr:rowOff>
        </xdr:from>
        <xdr:to>
          <xdr:col>11</xdr:col>
          <xdr:colOff>1295400</xdr:colOff>
          <xdr:row>2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11</xdr:row>
          <xdr:rowOff>95250</xdr:rowOff>
        </xdr:from>
        <xdr:to>
          <xdr:col>11</xdr:col>
          <xdr:colOff>1362075</xdr:colOff>
          <xdr:row>13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Pref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17</xdr:row>
          <xdr:rowOff>85725</xdr:rowOff>
        </xdr:from>
        <xdr:to>
          <xdr:col>11</xdr:col>
          <xdr:colOff>1343025</xdr:colOff>
          <xdr:row>19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</xdr:row>
          <xdr:rowOff>85725</xdr:rowOff>
        </xdr:from>
        <xdr:to>
          <xdr:col>12</xdr:col>
          <xdr:colOff>571500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Preferences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artPage">
    <tabColor theme="4" tint="-0.499984740745262"/>
  </sheetPr>
  <dimension ref="A1:Y23"/>
  <sheetViews>
    <sheetView workbookViewId="0">
      <selection activeCell="H15" sqref="H15"/>
    </sheetView>
  </sheetViews>
  <sheetFormatPr defaultRowHeight="23.25" x14ac:dyDescent="0.35"/>
  <cols>
    <col min="1" max="1" width="1.4140625" customWidth="1"/>
    <col min="7" max="7" width="3.75" customWidth="1"/>
    <col min="10" max="10" width="11.4140625" customWidth="1"/>
    <col min="12" max="12" width="13.58203125" customWidth="1"/>
  </cols>
  <sheetData>
    <row r="1" spans="1:25" ht="24" thickBot="1" x14ac:dyDescent="0.4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</row>
    <row r="2" spans="1:25" x14ac:dyDescent="0.35">
      <c r="A2" s="49"/>
      <c r="B2" s="63" t="s">
        <v>62</v>
      </c>
      <c r="C2" s="64"/>
      <c r="D2" s="64"/>
      <c r="E2" s="64"/>
      <c r="F2" s="64"/>
      <c r="G2" s="64"/>
      <c r="H2" s="64"/>
      <c r="I2" s="64"/>
      <c r="J2" s="64"/>
      <c r="K2" s="64"/>
      <c r="L2" s="65"/>
      <c r="M2" s="49"/>
    </row>
    <row r="3" spans="1:25" ht="24" thickBot="1" x14ac:dyDescent="0.4">
      <c r="A3" s="49"/>
      <c r="B3" s="66"/>
      <c r="C3" s="67"/>
      <c r="D3" s="67"/>
      <c r="E3" s="67"/>
      <c r="F3" s="67"/>
      <c r="G3" s="67"/>
      <c r="H3" s="67"/>
      <c r="I3" s="67"/>
      <c r="J3" s="67"/>
      <c r="K3" s="67"/>
      <c r="L3" s="68"/>
      <c r="M3" s="49"/>
      <c r="Y3" t="s">
        <v>61</v>
      </c>
    </row>
    <row r="4" spans="1:25" ht="24" thickBot="1" x14ac:dyDescent="0.4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</row>
    <row r="5" spans="1:25" ht="24" thickBot="1" x14ac:dyDescent="0.4">
      <c r="A5" s="49"/>
      <c r="B5" s="69" t="s">
        <v>54</v>
      </c>
      <c r="C5" s="70"/>
      <c r="D5" s="70"/>
      <c r="E5" s="70"/>
      <c r="F5" s="70"/>
      <c r="G5" s="70"/>
      <c r="H5" s="70"/>
      <c r="I5" s="70"/>
      <c r="J5" s="70"/>
      <c r="K5" s="70"/>
      <c r="L5" s="71"/>
      <c r="M5" s="49"/>
    </row>
    <row r="6" spans="1:25" x14ac:dyDescent="0.35">
      <c r="A6" s="49"/>
      <c r="B6" s="29"/>
      <c r="C6" s="30"/>
      <c r="D6" s="30"/>
      <c r="E6" s="30"/>
      <c r="F6" s="30"/>
      <c r="G6" s="30"/>
      <c r="H6" s="30"/>
      <c r="I6" s="30"/>
      <c r="J6" s="30"/>
      <c r="K6" s="30"/>
      <c r="L6" s="31"/>
      <c r="M6" s="49"/>
    </row>
    <row r="7" spans="1:25" x14ac:dyDescent="0.35">
      <c r="A7" s="49"/>
      <c r="B7" s="29"/>
      <c r="C7" s="30"/>
      <c r="D7" s="30"/>
      <c r="E7" s="30"/>
      <c r="F7" s="30"/>
      <c r="G7" s="30"/>
      <c r="H7" s="30"/>
      <c r="I7" s="30"/>
      <c r="J7" s="30"/>
      <c r="K7" s="30"/>
      <c r="L7" s="31"/>
      <c r="M7" s="49"/>
    </row>
    <row r="8" spans="1:25" x14ac:dyDescent="0.35">
      <c r="A8" s="49"/>
      <c r="B8" s="29"/>
      <c r="C8" s="30"/>
      <c r="D8" s="30"/>
      <c r="E8" s="30"/>
      <c r="F8" s="30"/>
      <c r="G8" s="30"/>
      <c r="H8" s="30"/>
      <c r="I8" s="30"/>
      <c r="J8" s="30"/>
      <c r="K8" s="30"/>
      <c r="L8" s="31"/>
      <c r="M8" s="49"/>
    </row>
    <row r="9" spans="1:25" ht="24" thickBot="1" x14ac:dyDescent="0.4">
      <c r="A9" s="49"/>
      <c r="B9" s="29"/>
      <c r="C9" s="30"/>
      <c r="D9" s="30"/>
      <c r="E9" s="30"/>
      <c r="F9" s="30"/>
      <c r="G9" s="30"/>
      <c r="H9" s="30"/>
      <c r="I9" s="30"/>
      <c r="J9" s="30"/>
      <c r="K9" s="30"/>
      <c r="L9" s="31"/>
      <c r="M9" s="49"/>
    </row>
    <row r="10" spans="1:25" ht="24" thickBot="1" x14ac:dyDescent="0.4">
      <c r="A10" s="49"/>
      <c r="B10" s="69" t="s">
        <v>56</v>
      </c>
      <c r="C10" s="70"/>
      <c r="D10" s="70"/>
      <c r="E10" s="70"/>
      <c r="F10" s="70"/>
      <c r="G10" s="70"/>
      <c r="H10" s="70"/>
      <c r="I10" s="70"/>
      <c r="J10" s="70"/>
      <c r="K10" s="70"/>
      <c r="L10" s="71"/>
      <c r="M10" s="49"/>
    </row>
    <row r="11" spans="1:25" x14ac:dyDescent="0.35">
      <c r="A11" s="49"/>
      <c r="B11" s="29"/>
      <c r="C11" s="30"/>
      <c r="D11" s="30"/>
      <c r="E11" s="30"/>
      <c r="F11" s="30"/>
      <c r="G11" s="30"/>
      <c r="H11" s="30"/>
      <c r="I11" s="30"/>
      <c r="J11" s="30"/>
      <c r="K11" s="30"/>
      <c r="L11" s="31"/>
      <c r="M11" s="49"/>
    </row>
    <row r="12" spans="1:25" x14ac:dyDescent="0.35">
      <c r="A12" s="49"/>
      <c r="B12" s="29"/>
      <c r="C12" s="30"/>
      <c r="D12" s="30"/>
      <c r="E12" s="30"/>
      <c r="F12" s="30"/>
      <c r="G12" s="30"/>
      <c r="H12" s="30"/>
      <c r="I12" s="30"/>
      <c r="J12" s="30"/>
      <c r="K12" s="30"/>
      <c r="L12" s="31"/>
      <c r="M12" s="49"/>
    </row>
    <row r="13" spans="1:25" x14ac:dyDescent="0.35">
      <c r="A13" s="49"/>
      <c r="B13" s="29"/>
      <c r="C13" s="30"/>
      <c r="D13" s="30"/>
      <c r="E13" s="30"/>
      <c r="F13" s="30"/>
      <c r="G13" s="30"/>
      <c r="H13" s="30"/>
      <c r="I13" s="30"/>
      <c r="J13" s="30"/>
      <c r="K13" s="30"/>
      <c r="L13" s="31"/>
      <c r="M13" s="49"/>
    </row>
    <row r="14" spans="1:25" x14ac:dyDescent="0.35">
      <c r="A14" s="49"/>
      <c r="B14" s="29"/>
      <c r="C14" s="30"/>
      <c r="D14" s="30"/>
      <c r="E14" s="30"/>
      <c r="F14" s="30"/>
      <c r="G14" s="30"/>
      <c r="H14" s="30"/>
      <c r="I14" s="30"/>
      <c r="J14" s="30"/>
      <c r="K14" s="30"/>
      <c r="L14" s="31"/>
      <c r="M14" s="49"/>
    </row>
    <row r="15" spans="1:25" ht="24" thickBot="1" x14ac:dyDescent="0.4">
      <c r="A15" s="49"/>
      <c r="B15" s="29"/>
      <c r="C15" s="30"/>
      <c r="D15" s="30"/>
      <c r="E15" s="30"/>
      <c r="F15" s="30"/>
      <c r="G15" s="30"/>
      <c r="H15" s="30"/>
      <c r="I15" s="30"/>
      <c r="J15" s="30"/>
      <c r="K15" s="30"/>
      <c r="L15" s="31"/>
      <c r="M15" s="49"/>
    </row>
    <row r="16" spans="1:25" ht="24" thickBot="1" x14ac:dyDescent="0.4">
      <c r="A16" s="49"/>
      <c r="B16" s="69" t="s">
        <v>55</v>
      </c>
      <c r="C16" s="70"/>
      <c r="D16" s="70"/>
      <c r="E16" s="70"/>
      <c r="F16" s="70"/>
      <c r="G16" s="70"/>
      <c r="H16" s="70"/>
      <c r="I16" s="70"/>
      <c r="J16" s="70"/>
      <c r="K16" s="70"/>
      <c r="L16" s="71"/>
      <c r="M16" s="49"/>
    </row>
    <row r="17" spans="1:13" x14ac:dyDescent="0.35">
      <c r="A17" s="49"/>
      <c r="B17" s="29"/>
      <c r="C17" s="30"/>
      <c r="D17" s="30"/>
      <c r="E17" s="30"/>
      <c r="F17" s="30"/>
      <c r="G17" s="30"/>
      <c r="H17" s="30"/>
      <c r="I17" s="30"/>
      <c r="J17" s="30"/>
      <c r="K17" s="30"/>
      <c r="L17" s="31"/>
      <c r="M17" s="49"/>
    </row>
    <row r="18" spans="1:13" x14ac:dyDescent="0.35">
      <c r="A18" s="49"/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1"/>
      <c r="M18" s="49"/>
    </row>
    <row r="19" spans="1:13" x14ac:dyDescent="0.35">
      <c r="A19" s="49"/>
      <c r="B19" s="29"/>
      <c r="C19" s="30"/>
      <c r="D19" s="30"/>
      <c r="E19" s="30"/>
      <c r="F19" s="30"/>
      <c r="G19" s="30"/>
      <c r="H19" s="30"/>
      <c r="I19" s="30"/>
      <c r="J19" s="30"/>
      <c r="K19" s="30"/>
      <c r="L19" s="31"/>
      <c r="M19" s="49"/>
    </row>
    <row r="20" spans="1:13" x14ac:dyDescent="0.35">
      <c r="A20" s="49"/>
      <c r="B20" s="29"/>
      <c r="C20" s="30"/>
      <c r="D20" s="30"/>
      <c r="E20" s="30"/>
      <c r="F20" s="30"/>
      <c r="G20" s="30"/>
      <c r="H20" s="30"/>
      <c r="I20" s="30"/>
      <c r="J20" s="30"/>
      <c r="K20" s="30"/>
      <c r="L20" s="31"/>
      <c r="M20" s="49"/>
    </row>
    <row r="21" spans="1:13" ht="24" thickBot="1" x14ac:dyDescent="0.4">
      <c r="A21" s="49"/>
      <c r="B21" s="32"/>
      <c r="C21" s="33"/>
      <c r="D21" s="33"/>
      <c r="E21" s="33"/>
      <c r="F21" s="33"/>
      <c r="G21" s="33"/>
      <c r="H21" s="33"/>
      <c r="I21" s="33"/>
      <c r="J21" s="33"/>
      <c r="K21" s="33"/>
      <c r="L21" s="34"/>
      <c r="M21" s="49"/>
    </row>
    <row r="22" spans="1:13" x14ac:dyDescent="0.3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</row>
    <row r="23" spans="1:13" x14ac:dyDescent="0.35"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</row>
  </sheetData>
  <mergeCells count="4">
    <mergeCell ref="B2:L3"/>
    <mergeCell ref="B5:L5"/>
    <mergeCell ref="B10:L10"/>
    <mergeCell ref="B16:L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ow_date_setup">
                <anchor moveWithCells="1" sizeWithCells="1">
                  <from>
                    <xdr:col>1</xdr:col>
                    <xdr:colOff>228600</xdr:colOff>
                    <xdr:row>5</xdr:row>
                    <xdr:rowOff>209550</xdr:rowOff>
                  </from>
                  <to>
                    <xdr:col>11</xdr:col>
                    <xdr:colOff>1352550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utton2_Click">
                <anchor moveWithCells="1" sizeWithCells="1">
                  <from>
                    <xdr:col>11</xdr:col>
                    <xdr:colOff>152400</xdr:colOff>
                    <xdr:row>1</xdr:row>
                    <xdr:rowOff>171450</xdr:rowOff>
                  </from>
                  <to>
                    <xdr:col>11</xdr:col>
                    <xdr:colOff>1295400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how_date_setup">
                <anchor moveWithCells="1" sizeWithCells="1">
                  <from>
                    <xdr:col>1</xdr:col>
                    <xdr:colOff>238125</xdr:colOff>
                    <xdr:row>11</xdr:row>
                    <xdr:rowOff>95250</xdr:rowOff>
                  </from>
                  <to>
                    <xdr:col>11</xdr:col>
                    <xdr:colOff>1362075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Tote_Sort_Scheduler">
                <anchor moveWithCells="1" sizeWithCells="1">
                  <from>
                    <xdr:col>1</xdr:col>
                    <xdr:colOff>219075</xdr:colOff>
                    <xdr:row>17</xdr:row>
                    <xdr:rowOff>85725</xdr:rowOff>
                  </from>
                  <to>
                    <xdr:col>11</xdr:col>
                    <xdr:colOff>1343025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PREF">
    <tabColor rgb="FFFFFF00"/>
    <pageSetUpPr fitToPage="1"/>
  </sheetPr>
  <dimension ref="A1:M21"/>
  <sheetViews>
    <sheetView zoomScale="90" zoomScaleNormal="90" workbookViewId="0">
      <selection activeCell="C23" sqref="C23"/>
    </sheetView>
  </sheetViews>
  <sheetFormatPr defaultRowHeight="23.25" x14ac:dyDescent="0.35"/>
  <cols>
    <col min="1" max="1" width="17.9140625" customWidth="1"/>
    <col min="2" max="6" width="7.08203125" customWidth="1"/>
    <col min="8" max="8" width="13.08203125" customWidth="1"/>
    <col min="9" max="9" width="11.08203125" customWidth="1"/>
    <col min="10" max="10" width="3.33203125" customWidth="1"/>
    <col min="12" max="12" width="6.9140625" customWidth="1"/>
    <col min="13" max="13" width="6.75" customWidth="1"/>
  </cols>
  <sheetData>
    <row r="1" spans="1:13" ht="24" thickBot="1" x14ac:dyDescent="0.4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11" t="s">
        <v>23</v>
      </c>
      <c r="I1" s="7" t="s">
        <v>58</v>
      </c>
      <c r="J1" s="7"/>
    </row>
    <row r="2" spans="1:13" ht="25.5" thickTop="1" thickBot="1" x14ac:dyDescent="0.4">
      <c r="A2" s="1" t="s">
        <v>7</v>
      </c>
      <c r="B2" s="3">
        <v>1</v>
      </c>
      <c r="C2" s="3">
        <v>1</v>
      </c>
      <c r="D2" s="3">
        <v>0</v>
      </c>
      <c r="E2" s="3">
        <v>1</v>
      </c>
      <c r="F2" s="3">
        <v>0</v>
      </c>
      <c r="G2" s="3" t="s">
        <v>53</v>
      </c>
      <c r="H2" s="3">
        <v>0</v>
      </c>
      <c r="I2" s="8">
        <v>0</v>
      </c>
      <c r="J2" s="8">
        <v>0</v>
      </c>
    </row>
    <row r="3" spans="1:13" ht="24.75" thickBot="1" x14ac:dyDescent="0.4">
      <c r="A3" s="2" t="s">
        <v>8</v>
      </c>
      <c r="B3" s="4">
        <v>1</v>
      </c>
      <c r="C3" s="4">
        <v>1</v>
      </c>
      <c r="D3" s="4">
        <v>0</v>
      </c>
      <c r="E3" s="4">
        <v>0</v>
      </c>
      <c r="F3" s="4">
        <v>1</v>
      </c>
      <c r="G3" s="4">
        <v>0</v>
      </c>
      <c r="H3" s="4">
        <v>0</v>
      </c>
      <c r="I3" s="8">
        <v>0</v>
      </c>
      <c r="J3" s="8">
        <v>0</v>
      </c>
    </row>
    <row r="4" spans="1:13" ht="24.75" thickBot="1" x14ac:dyDescent="0.4">
      <c r="A4" s="2" t="s">
        <v>9</v>
      </c>
      <c r="B4" s="4">
        <v>1</v>
      </c>
      <c r="C4" s="4">
        <v>1</v>
      </c>
      <c r="D4" s="4">
        <v>0</v>
      </c>
      <c r="E4" s="4">
        <v>1</v>
      </c>
      <c r="F4" s="4">
        <v>1</v>
      </c>
      <c r="G4" s="4">
        <v>1</v>
      </c>
      <c r="H4" s="4">
        <v>0</v>
      </c>
      <c r="I4" s="8">
        <v>0</v>
      </c>
      <c r="J4" s="8">
        <v>0</v>
      </c>
    </row>
    <row r="5" spans="1:13" ht="24.75" thickBot="1" x14ac:dyDescent="0.4">
      <c r="A5" s="2" t="s">
        <v>10</v>
      </c>
      <c r="B5" s="4">
        <v>1</v>
      </c>
      <c r="C5" s="4">
        <v>1</v>
      </c>
      <c r="D5" s="4">
        <v>0</v>
      </c>
      <c r="E5" s="4">
        <v>1</v>
      </c>
      <c r="F5" s="4">
        <v>1</v>
      </c>
      <c r="G5" s="4">
        <v>1</v>
      </c>
      <c r="H5" s="4">
        <v>0</v>
      </c>
      <c r="I5" s="8">
        <v>0</v>
      </c>
      <c r="J5" s="8">
        <v>0</v>
      </c>
    </row>
    <row r="6" spans="1:13" ht="24.75" customHeight="1" thickBot="1" x14ac:dyDescent="0.4">
      <c r="A6" s="2" t="s">
        <v>11</v>
      </c>
      <c r="B6" s="4">
        <v>0</v>
      </c>
      <c r="C6" s="4">
        <v>0</v>
      </c>
      <c r="D6" s="4">
        <v>1</v>
      </c>
      <c r="E6" s="4">
        <v>0</v>
      </c>
      <c r="F6" s="4">
        <v>1</v>
      </c>
      <c r="G6" s="4">
        <v>0</v>
      </c>
      <c r="H6" s="4">
        <v>0</v>
      </c>
      <c r="I6" s="10">
        <v>0</v>
      </c>
      <c r="J6" s="10">
        <v>0</v>
      </c>
      <c r="K6" s="72" t="s">
        <v>22</v>
      </c>
      <c r="L6" s="72"/>
      <c r="M6" s="72"/>
    </row>
    <row r="7" spans="1:13" ht="24.75" thickBot="1" x14ac:dyDescent="0.4">
      <c r="A7" s="2" t="s">
        <v>12</v>
      </c>
      <c r="B7" s="4">
        <v>1</v>
      </c>
      <c r="C7" s="4">
        <v>1</v>
      </c>
      <c r="D7" s="4">
        <v>0</v>
      </c>
      <c r="E7" s="4">
        <v>1</v>
      </c>
      <c r="F7" s="4">
        <v>1</v>
      </c>
      <c r="G7" s="4">
        <v>1</v>
      </c>
      <c r="H7" s="4">
        <v>0</v>
      </c>
      <c r="I7" s="10">
        <v>0</v>
      </c>
      <c r="J7" s="10">
        <v>0</v>
      </c>
      <c r="K7" s="73" t="s">
        <v>28</v>
      </c>
      <c r="L7" s="73"/>
      <c r="M7" s="73"/>
    </row>
    <row r="8" spans="1:13" ht="24.75" thickBot="1" x14ac:dyDescent="0.4">
      <c r="A8" s="2" t="s">
        <v>13</v>
      </c>
      <c r="B8" s="4">
        <v>1</v>
      </c>
      <c r="C8" s="4">
        <v>1</v>
      </c>
      <c r="D8" s="4">
        <v>0</v>
      </c>
      <c r="E8" s="4">
        <v>1</v>
      </c>
      <c r="F8" s="4">
        <v>1</v>
      </c>
      <c r="G8" s="4">
        <v>1</v>
      </c>
      <c r="H8" s="4">
        <v>0</v>
      </c>
      <c r="I8" s="10">
        <v>0</v>
      </c>
      <c r="J8" s="10">
        <v>0</v>
      </c>
      <c r="K8" s="73" t="s">
        <v>29</v>
      </c>
      <c r="L8" s="73"/>
      <c r="M8" s="73"/>
    </row>
    <row r="9" spans="1:13" ht="24.75" thickBot="1" x14ac:dyDescent="0.4">
      <c r="A9" s="2" t="s">
        <v>14</v>
      </c>
      <c r="B9" s="4">
        <v>1</v>
      </c>
      <c r="C9" s="4">
        <v>1</v>
      </c>
      <c r="D9" s="4">
        <v>0</v>
      </c>
      <c r="E9" s="4">
        <v>1</v>
      </c>
      <c r="F9" s="4">
        <v>0</v>
      </c>
      <c r="G9" s="4">
        <v>0</v>
      </c>
      <c r="H9" s="4">
        <v>0</v>
      </c>
      <c r="I9" s="8">
        <v>0</v>
      </c>
      <c r="J9" s="8">
        <v>0</v>
      </c>
      <c r="K9" s="9"/>
      <c r="L9" s="9"/>
      <c r="M9" s="9"/>
    </row>
    <row r="10" spans="1:13" ht="24.75" thickBot="1" x14ac:dyDescent="0.4">
      <c r="A10" s="2" t="s">
        <v>31</v>
      </c>
      <c r="B10" s="4">
        <v>1</v>
      </c>
      <c r="C10" s="4">
        <v>1</v>
      </c>
      <c r="D10" s="4">
        <v>0</v>
      </c>
      <c r="E10" s="4">
        <v>0</v>
      </c>
      <c r="F10" s="4">
        <v>0</v>
      </c>
      <c r="G10" s="4">
        <v>1</v>
      </c>
      <c r="H10" s="4">
        <v>0</v>
      </c>
      <c r="I10" s="8">
        <v>0</v>
      </c>
      <c r="J10" s="8">
        <v>0</v>
      </c>
      <c r="K10" s="9"/>
      <c r="L10" s="9"/>
      <c r="M10" s="9"/>
    </row>
    <row r="11" spans="1:13" ht="24.75" thickBot="1" x14ac:dyDescent="0.4">
      <c r="A11" s="2" t="s">
        <v>15</v>
      </c>
      <c r="B11" s="4">
        <v>1</v>
      </c>
      <c r="C11" s="4">
        <v>1</v>
      </c>
      <c r="D11" s="4">
        <v>0</v>
      </c>
      <c r="E11" s="4">
        <v>1</v>
      </c>
      <c r="F11" s="4">
        <v>1</v>
      </c>
      <c r="G11" s="4">
        <v>1</v>
      </c>
      <c r="H11" s="4">
        <v>0</v>
      </c>
      <c r="I11" s="8">
        <v>0</v>
      </c>
      <c r="J11" s="8">
        <v>0</v>
      </c>
      <c r="K11" s="9"/>
      <c r="L11" s="9"/>
      <c r="M11" s="9"/>
    </row>
    <row r="12" spans="1:13" ht="24.75" thickBot="1" x14ac:dyDescent="0.4">
      <c r="A12" s="2" t="s">
        <v>27</v>
      </c>
      <c r="B12" s="4">
        <v>1</v>
      </c>
      <c r="C12" s="4">
        <v>1</v>
      </c>
      <c r="D12" s="4">
        <v>0</v>
      </c>
      <c r="E12" s="4">
        <v>1</v>
      </c>
      <c r="F12" s="4">
        <v>1</v>
      </c>
      <c r="G12" s="4">
        <v>1</v>
      </c>
      <c r="H12" s="4">
        <v>0</v>
      </c>
      <c r="I12" s="8">
        <v>0</v>
      </c>
      <c r="J12" s="8">
        <v>0</v>
      </c>
      <c r="K12" s="9"/>
      <c r="L12" s="9"/>
      <c r="M12" s="9"/>
    </row>
    <row r="13" spans="1:13" ht="24.75" thickBot="1" x14ac:dyDescent="0.4">
      <c r="A13" s="2" t="s">
        <v>16</v>
      </c>
      <c r="B13" s="4">
        <v>0</v>
      </c>
      <c r="C13" s="4">
        <v>1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8">
        <v>0</v>
      </c>
      <c r="J13" s="8">
        <v>0</v>
      </c>
      <c r="K13" s="9"/>
      <c r="L13" s="9"/>
      <c r="M13" s="9"/>
    </row>
    <row r="14" spans="1:13" ht="24.75" thickBot="1" x14ac:dyDescent="0.4">
      <c r="A14" s="2" t="s">
        <v>17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  <c r="G14" s="4">
        <v>1</v>
      </c>
      <c r="H14" s="4">
        <v>0</v>
      </c>
      <c r="I14" s="8">
        <v>0</v>
      </c>
      <c r="J14" s="8">
        <v>0</v>
      </c>
      <c r="K14" s="9"/>
      <c r="L14" s="9"/>
      <c r="M14" s="9"/>
    </row>
    <row r="15" spans="1:13" ht="24.75" thickBot="1" x14ac:dyDescent="0.4">
      <c r="A15" s="2" t="s">
        <v>18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0</v>
      </c>
      <c r="I15" s="8">
        <v>0</v>
      </c>
      <c r="J15" s="8">
        <v>0</v>
      </c>
      <c r="K15" s="9"/>
      <c r="L15" s="9"/>
      <c r="M15" s="9"/>
    </row>
    <row r="16" spans="1:13" ht="24.75" thickBot="1" x14ac:dyDescent="0.4">
      <c r="A16" s="2" t="s">
        <v>19</v>
      </c>
      <c r="B16" s="4">
        <v>1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8">
        <v>0</v>
      </c>
      <c r="J16" s="8">
        <v>0</v>
      </c>
      <c r="K16" s="9"/>
      <c r="L16" s="9"/>
      <c r="M16" s="9"/>
    </row>
    <row r="17" spans="1:12" ht="24.75" thickBot="1" x14ac:dyDescent="0.4">
      <c r="A17" s="2" t="s">
        <v>20</v>
      </c>
      <c r="B17" s="4">
        <v>1</v>
      </c>
      <c r="C17" s="4">
        <v>1</v>
      </c>
      <c r="D17" s="4">
        <v>1</v>
      </c>
      <c r="E17" s="4">
        <v>1</v>
      </c>
      <c r="F17" s="4">
        <v>1</v>
      </c>
      <c r="G17" s="4">
        <v>1</v>
      </c>
      <c r="H17" s="4">
        <v>0</v>
      </c>
      <c r="I17" s="8">
        <v>0</v>
      </c>
      <c r="J17" s="8">
        <v>0</v>
      </c>
      <c r="L17" s="9"/>
    </row>
    <row r="18" spans="1:12" ht="24.75" thickBot="1" x14ac:dyDescent="0.4">
      <c r="A18" s="2" t="s">
        <v>30</v>
      </c>
      <c r="B18" s="4">
        <v>0</v>
      </c>
      <c r="C18" s="4">
        <v>0</v>
      </c>
      <c r="D18" s="4">
        <v>0</v>
      </c>
      <c r="E18" s="4">
        <v>0</v>
      </c>
      <c r="F18" s="4">
        <v>1</v>
      </c>
      <c r="G18" s="4">
        <v>0</v>
      </c>
      <c r="H18" s="4">
        <v>0</v>
      </c>
      <c r="I18" s="8">
        <v>0</v>
      </c>
      <c r="J18" s="8">
        <v>0</v>
      </c>
      <c r="L18" s="9"/>
    </row>
    <row r="19" spans="1:12" ht="24.75" thickBot="1" x14ac:dyDescent="0.4">
      <c r="A19" s="2" t="s">
        <v>7</v>
      </c>
      <c r="B19" s="4">
        <v>1</v>
      </c>
      <c r="C19" s="4">
        <v>1</v>
      </c>
      <c r="D19" s="4">
        <v>1</v>
      </c>
      <c r="E19" s="4">
        <v>1</v>
      </c>
      <c r="F19" s="4">
        <v>1</v>
      </c>
      <c r="G19" s="4">
        <v>1</v>
      </c>
      <c r="H19" s="4">
        <v>0</v>
      </c>
      <c r="I19" s="8">
        <v>0</v>
      </c>
      <c r="J19" s="8">
        <v>0</v>
      </c>
      <c r="L19" s="9"/>
    </row>
    <row r="20" spans="1:12" x14ac:dyDescent="0.35">
      <c r="B20">
        <f>SUM(B2:B19)</f>
        <v>15</v>
      </c>
      <c r="C20">
        <f t="shared" ref="C20:F20" si="0">SUM(C2:C19)</f>
        <v>15</v>
      </c>
      <c r="D20">
        <f t="shared" si="0"/>
        <v>5</v>
      </c>
      <c r="E20">
        <f t="shared" si="0"/>
        <v>12</v>
      </c>
      <c r="F20">
        <f t="shared" si="0"/>
        <v>13</v>
      </c>
      <c r="L20" s="9"/>
    </row>
    <row r="21" spans="1:12" x14ac:dyDescent="0.35">
      <c r="A21" s="57"/>
      <c r="L21" s="9"/>
    </row>
  </sheetData>
  <mergeCells count="3">
    <mergeCell ref="K6:M6"/>
    <mergeCell ref="K7:M7"/>
    <mergeCell ref="K8:M8"/>
  </mergeCells>
  <pageMargins left="0.7" right="0.7" top="0.75" bottom="0.75" header="0.3" footer="0.3"/>
  <pageSetup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10</xdr:col>
                    <xdr:colOff>57150</xdr:colOff>
                    <xdr:row>1</xdr:row>
                    <xdr:rowOff>85725</xdr:rowOff>
                  </from>
                  <to>
                    <xdr:col>12</xdr:col>
                    <xdr:colOff>571500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EPREF"/>
  <dimension ref="A1:H1"/>
  <sheetViews>
    <sheetView tabSelected="1" workbookViewId="0">
      <selection activeCell="B10" sqref="B10"/>
    </sheetView>
  </sheetViews>
  <sheetFormatPr defaultRowHeight="23.25" x14ac:dyDescent="0.35"/>
  <cols>
    <col min="1" max="2" width="13.33203125" customWidth="1"/>
  </cols>
  <sheetData>
    <row r="1" spans="1:8" x14ac:dyDescent="0.35">
      <c r="A1" t="s">
        <v>0</v>
      </c>
      <c r="B1" t="s">
        <v>133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endar">
    <tabColor rgb="FFFF0000"/>
    <pageSetUpPr fitToPage="1"/>
  </sheetPr>
  <dimension ref="A1:G21"/>
  <sheetViews>
    <sheetView zoomScale="40" zoomScaleNormal="40" workbookViewId="0">
      <selection activeCell="B5" sqref="B5:B6"/>
    </sheetView>
  </sheetViews>
  <sheetFormatPr defaultRowHeight="23.25" x14ac:dyDescent="0.35"/>
  <cols>
    <col min="1" max="7" width="12.9140625" customWidth="1"/>
  </cols>
  <sheetData>
    <row r="1" spans="1:7" x14ac:dyDescent="0.35">
      <c r="A1" s="74">
        <f>'App Data'!A4</f>
        <v>43647</v>
      </c>
      <c r="B1" s="75"/>
      <c r="C1" s="75"/>
      <c r="D1" s="75"/>
      <c r="E1" s="75"/>
      <c r="F1" s="75"/>
      <c r="G1" s="76"/>
    </row>
    <row r="2" spans="1:7" ht="24" thickBot="1" x14ac:dyDescent="0.4">
      <c r="A2" s="77"/>
      <c r="B2" s="78"/>
      <c r="C2" s="78"/>
      <c r="D2" s="78"/>
      <c r="E2" s="78"/>
      <c r="F2" s="78"/>
      <c r="G2" s="79"/>
    </row>
    <row r="3" spans="1:7" ht="24" thickBot="1" x14ac:dyDescent="0.4">
      <c r="A3" s="12" t="s">
        <v>24</v>
      </c>
      <c r="B3" s="13" t="s">
        <v>25</v>
      </c>
      <c r="C3" s="13" t="s">
        <v>2</v>
      </c>
      <c r="D3" s="13" t="s">
        <v>3</v>
      </c>
      <c r="E3" s="13" t="s">
        <v>4</v>
      </c>
      <c r="F3" s="13" t="s">
        <v>5</v>
      </c>
      <c r="G3" s="14" t="s">
        <v>26</v>
      </c>
    </row>
    <row r="4" spans="1:7" ht="17.25" customHeight="1" x14ac:dyDescent="0.35">
      <c r="A4" s="15"/>
      <c r="B4" s="16">
        <v>1</v>
      </c>
      <c r="C4" s="16">
        <v>2</v>
      </c>
      <c r="D4" s="16">
        <v>3</v>
      </c>
      <c r="E4" s="16">
        <v>4</v>
      </c>
      <c r="F4" s="16">
        <v>5</v>
      </c>
      <c r="G4" s="17">
        <v>6</v>
      </c>
    </row>
    <row r="5" spans="1:7" x14ac:dyDescent="0.35">
      <c r="A5" s="81"/>
      <c r="B5" s="82" t="s">
        <v>19</v>
      </c>
      <c r="C5" s="82" t="s">
        <v>16</v>
      </c>
      <c r="D5" s="82" t="s">
        <v>17</v>
      </c>
      <c r="E5" s="82" t="s">
        <v>18</v>
      </c>
      <c r="F5" s="82" t="s">
        <v>21</v>
      </c>
      <c r="G5" s="83" t="s">
        <v>131</v>
      </c>
    </row>
    <row r="6" spans="1:7" x14ac:dyDescent="0.35">
      <c r="A6" s="81"/>
      <c r="B6" s="82"/>
      <c r="C6" s="82"/>
      <c r="D6" s="82"/>
      <c r="E6" s="82"/>
      <c r="F6" s="82"/>
      <c r="G6" s="83"/>
    </row>
    <row r="7" spans="1:7" ht="17.25" customHeight="1" x14ac:dyDescent="0.35">
      <c r="A7" s="18">
        <v>7</v>
      </c>
      <c r="B7" s="19">
        <v>8</v>
      </c>
      <c r="C7" s="19">
        <v>9</v>
      </c>
      <c r="D7" s="19">
        <v>10</v>
      </c>
      <c r="E7" s="19">
        <v>11</v>
      </c>
      <c r="F7" s="19">
        <v>12</v>
      </c>
      <c r="G7" s="20">
        <v>13</v>
      </c>
    </row>
    <row r="8" spans="1:7" x14ac:dyDescent="0.35">
      <c r="A8" s="81" t="s">
        <v>131</v>
      </c>
      <c r="B8" s="80" t="s">
        <v>20</v>
      </c>
      <c r="C8" s="80" t="s">
        <v>7</v>
      </c>
      <c r="D8" s="80" t="s">
        <v>11</v>
      </c>
      <c r="E8" s="80" t="s">
        <v>9</v>
      </c>
      <c r="F8" s="80" t="s">
        <v>15</v>
      </c>
      <c r="G8" s="83" t="s">
        <v>131</v>
      </c>
    </row>
    <row r="9" spans="1:7" x14ac:dyDescent="0.35">
      <c r="A9" s="81"/>
      <c r="B9" s="80"/>
      <c r="C9" s="80"/>
      <c r="D9" s="80"/>
      <c r="E9" s="80"/>
      <c r="F9" s="80"/>
      <c r="G9" s="83"/>
    </row>
    <row r="10" spans="1:7" ht="17.25" customHeight="1" x14ac:dyDescent="0.35">
      <c r="A10" s="18">
        <v>14</v>
      </c>
      <c r="B10" s="19">
        <v>15</v>
      </c>
      <c r="C10" s="19">
        <v>16</v>
      </c>
      <c r="D10" s="19">
        <v>17</v>
      </c>
      <c r="E10" s="19">
        <v>18</v>
      </c>
      <c r="F10" s="19">
        <v>19</v>
      </c>
      <c r="G10" s="20">
        <v>20</v>
      </c>
    </row>
    <row r="11" spans="1:7" x14ac:dyDescent="0.35">
      <c r="A11" s="81" t="s">
        <v>131</v>
      </c>
      <c r="B11" s="80" t="s">
        <v>8</v>
      </c>
      <c r="C11" s="80" t="s">
        <v>27</v>
      </c>
      <c r="D11" s="80" t="s">
        <v>132</v>
      </c>
      <c r="E11" s="80" t="s">
        <v>10</v>
      </c>
      <c r="F11" s="80" t="s">
        <v>30</v>
      </c>
      <c r="G11" s="83" t="s">
        <v>131</v>
      </c>
    </row>
    <row r="12" spans="1:7" x14ac:dyDescent="0.35">
      <c r="A12" s="81"/>
      <c r="B12" s="80"/>
      <c r="C12" s="80"/>
      <c r="D12" s="80"/>
      <c r="E12" s="80"/>
      <c r="F12" s="80"/>
      <c r="G12" s="83"/>
    </row>
    <row r="13" spans="1:7" ht="17.25" customHeight="1" x14ac:dyDescent="0.35">
      <c r="A13" s="18">
        <v>21</v>
      </c>
      <c r="B13" s="19">
        <v>22</v>
      </c>
      <c r="C13" s="19">
        <v>23</v>
      </c>
      <c r="D13" s="19">
        <v>24</v>
      </c>
      <c r="E13" s="19">
        <v>25</v>
      </c>
      <c r="F13" s="19">
        <v>26</v>
      </c>
      <c r="G13" s="20">
        <v>27</v>
      </c>
    </row>
    <row r="14" spans="1:7" x14ac:dyDescent="0.35">
      <c r="A14" s="81" t="s">
        <v>131</v>
      </c>
      <c r="B14" s="80" t="s">
        <v>10</v>
      </c>
      <c r="C14" s="80" t="s">
        <v>31</v>
      </c>
      <c r="D14" s="80" t="s">
        <v>132</v>
      </c>
      <c r="E14" s="80" t="s">
        <v>12</v>
      </c>
      <c r="F14" s="80" t="s">
        <v>13</v>
      </c>
      <c r="G14" s="83" t="s">
        <v>131</v>
      </c>
    </row>
    <row r="15" spans="1:7" x14ac:dyDescent="0.35">
      <c r="A15" s="81"/>
      <c r="B15" s="80"/>
      <c r="C15" s="80"/>
      <c r="D15" s="80"/>
      <c r="E15" s="80"/>
      <c r="F15" s="80"/>
      <c r="G15" s="83"/>
    </row>
    <row r="16" spans="1:7" ht="17.25" customHeight="1" x14ac:dyDescent="0.35">
      <c r="A16" s="18">
        <v>28</v>
      </c>
      <c r="B16" s="19">
        <v>29</v>
      </c>
      <c r="C16" s="19">
        <v>30</v>
      </c>
      <c r="D16" s="19">
        <v>31</v>
      </c>
      <c r="E16" s="19"/>
      <c r="F16" s="19"/>
      <c r="G16" s="20"/>
    </row>
    <row r="17" spans="1:7" x14ac:dyDescent="0.35">
      <c r="A17" s="81" t="s">
        <v>131</v>
      </c>
      <c r="B17" s="86" t="s">
        <v>12</v>
      </c>
      <c r="C17" s="80" t="s">
        <v>13</v>
      </c>
      <c r="D17" s="80"/>
      <c r="E17" s="80"/>
      <c r="F17" s="80"/>
      <c r="G17" s="83"/>
    </row>
    <row r="18" spans="1:7" x14ac:dyDescent="0.35">
      <c r="A18" s="81"/>
      <c r="B18" s="92"/>
      <c r="C18" s="80"/>
      <c r="D18" s="80"/>
      <c r="E18" s="80"/>
      <c r="F18" s="80"/>
      <c r="G18" s="83"/>
    </row>
    <row r="19" spans="1:7" ht="17.25" customHeight="1" x14ac:dyDescent="0.35">
      <c r="A19" s="18"/>
      <c r="B19" s="21"/>
      <c r="C19" s="19"/>
      <c r="D19" s="19"/>
      <c r="E19" s="19"/>
      <c r="F19" s="19"/>
      <c r="G19" s="20"/>
    </row>
    <row r="20" spans="1:7" x14ac:dyDescent="0.35">
      <c r="A20" s="84"/>
      <c r="B20" s="86"/>
      <c r="C20" s="88"/>
      <c r="D20" s="82"/>
      <c r="E20" s="82"/>
      <c r="F20" s="82"/>
      <c r="G20" s="83"/>
    </row>
    <row r="21" spans="1:7" ht="24" thickBot="1" x14ac:dyDescent="0.4">
      <c r="A21" s="85"/>
      <c r="B21" s="87"/>
      <c r="C21" s="89"/>
      <c r="D21" s="90"/>
      <c r="E21" s="90"/>
      <c r="F21" s="90"/>
      <c r="G21" s="91"/>
    </row>
  </sheetData>
  <mergeCells count="43">
    <mergeCell ref="G17:G18"/>
    <mergeCell ref="A20:A21"/>
    <mergeCell ref="B20:B21"/>
    <mergeCell ref="C20:C21"/>
    <mergeCell ref="D20:D21"/>
    <mergeCell ref="E20:E21"/>
    <mergeCell ref="F20:F21"/>
    <mergeCell ref="G20:G21"/>
    <mergeCell ref="B17:B18"/>
    <mergeCell ref="C17:C18"/>
    <mergeCell ref="D17:D18"/>
    <mergeCell ref="E17:E18"/>
    <mergeCell ref="F17:F18"/>
    <mergeCell ref="A17:A18"/>
    <mergeCell ref="F14:F15"/>
    <mergeCell ref="G14:G15"/>
    <mergeCell ref="B11:B12"/>
    <mergeCell ref="C11:C12"/>
    <mergeCell ref="D11:D12"/>
    <mergeCell ref="E11:E12"/>
    <mergeCell ref="F11:F12"/>
    <mergeCell ref="A14:A15"/>
    <mergeCell ref="B14:B15"/>
    <mergeCell ref="C14:C15"/>
    <mergeCell ref="D14:D15"/>
    <mergeCell ref="E14:E15"/>
    <mergeCell ref="A11:A12"/>
    <mergeCell ref="F5:F6"/>
    <mergeCell ref="G5:G6"/>
    <mergeCell ref="G8:G9"/>
    <mergeCell ref="F8:F9"/>
    <mergeCell ref="E8:E9"/>
    <mergeCell ref="A5:A6"/>
    <mergeCell ref="B5:B6"/>
    <mergeCell ref="C5:C6"/>
    <mergeCell ref="D5:D6"/>
    <mergeCell ref="E5:E6"/>
    <mergeCell ref="G11:G12"/>
    <mergeCell ref="A1:G2"/>
    <mergeCell ref="D8:D9"/>
    <mergeCell ref="C8:C9"/>
    <mergeCell ref="B8:B9"/>
    <mergeCell ref="A8:A9"/>
  </mergeCells>
  <pageMargins left="0.7" right="0.7" top="0.75" bottom="0.75" header="0.3" footer="0.3"/>
  <pageSetup scale="8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pp_Data">
    <tabColor theme="9" tint="-0.249977111117893"/>
  </sheetPr>
  <dimension ref="A1:I14"/>
  <sheetViews>
    <sheetView workbookViewId="0">
      <selection activeCell="J12" sqref="J12"/>
    </sheetView>
  </sheetViews>
  <sheetFormatPr defaultRowHeight="23.25" x14ac:dyDescent="0.35"/>
  <cols>
    <col min="1" max="1" width="9.4140625" style="22" customWidth="1"/>
    <col min="2" max="6" width="8.6640625" style="22"/>
    <col min="7" max="7" width="8.6640625" style="22" customWidth="1"/>
    <col min="8" max="16384" width="8.6640625" style="22"/>
  </cols>
  <sheetData>
    <row r="1" spans="1:9" ht="24" thickBot="1" x14ac:dyDescent="0.4">
      <c r="A1" s="45" t="s">
        <v>32</v>
      </c>
      <c r="B1" s="93" t="s">
        <v>33</v>
      </c>
      <c r="C1" s="94"/>
      <c r="D1" s="46" t="s">
        <v>37</v>
      </c>
      <c r="E1" s="47" t="s">
        <v>50</v>
      </c>
      <c r="F1" s="95" t="s">
        <v>51</v>
      </c>
      <c r="G1" s="96"/>
      <c r="H1" s="96"/>
      <c r="I1" s="97"/>
    </row>
    <row r="2" spans="1:9" ht="24" thickBot="1" x14ac:dyDescent="0.4">
      <c r="A2" s="28">
        <f ca="1">TODAY()</f>
        <v>43454</v>
      </c>
      <c r="B2" s="36" t="s">
        <v>38</v>
      </c>
      <c r="C2" s="37">
        <v>31</v>
      </c>
      <c r="D2" s="25">
        <v>0</v>
      </c>
      <c r="E2" s="42">
        <v>0</v>
      </c>
      <c r="F2" s="23" t="s">
        <v>52</v>
      </c>
      <c r="G2" s="23" t="s">
        <v>53</v>
      </c>
      <c r="H2" s="23" t="s">
        <v>63</v>
      </c>
      <c r="I2" s="23" t="s">
        <v>64</v>
      </c>
    </row>
    <row r="3" spans="1:9" ht="24" thickBot="1" x14ac:dyDescent="0.4">
      <c r="A3" s="44" t="s">
        <v>47</v>
      </c>
      <c r="B3" s="38" t="s">
        <v>39</v>
      </c>
      <c r="C3" s="39">
        <v>28</v>
      </c>
      <c r="D3" s="26">
        <v>0</v>
      </c>
      <c r="E3" s="42">
        <v>1</v>
      </c>
      <c r="F3" s="98" t="s">
        <v>57</v>
      </c>
      <c r="G3" s="99"/>
      <c r="H3" s="99"/>
      <c r="I3" s="100"/>
    </row>
    <row r="4" spans="1:9" ht="24" thickBot="1" x14ac:dyDescent="0.4">
      <c r="A4" s="24">
        <v>43647</v>
      </c>
      <c r="B4" s="38" t="s">
        <v>40</v>
      </c>
      <c r="C4" s="39">
        <v>31</v>
      </c>
      <c r="D4" s="26">
        <v>0</v>
      </c>
      <c r="E4" s="42">
        <v>2</v>
      </c>
      <c r="F4" s="101">
        <f>COUNTA('Employee Preferences'!A2:A19)</f>
        <v>18</v>
      </c>
      <c r="G4" s="102"/>
      <c r="H4" s="102"/>
      <c r="I4" s="103"/>
    </row>
    <row r="5" spans="1:9" ht="24" thickBot="1" x14ac:dyDescent="0.4">
      <c r="A5" s="44" t="s">
        <v>49</v>
      </c>
      <c r="B5" s="38" t="s">
        <v>41</v>
      </c>
      <c r="C5" s="39">
        <v>30</v>
      </c>
      <c r="D5" s="26">
        <v>0</v>
      </c>
      <c r="E5" s="42">
        <v>3</v>
      </c>
      <c r="F5" s="50" t="s">
        <v>59</v>
      </c>
      <c r="G5" s="52" t="s">
        <v>60</v>
      </c>
    </row>
    <row r="6" spans="1:9" ht="24" thickBot="1" x14ac:dyDescent="0.4">
      <c r="A6" s="24">
        <v>43677</v>
      </c>
      <c r="B6" s="38" t="s">
        <v>34</v>
      </c>
      <c r="C6" s="39">
        <v>31</v>
      </c>
      <c r="D6" s="26">
        <v>0</v>
      </c>
      <c r="E6" s="42">
        <v>4</v>
      </c>
      <c r="F6" s="55">
        <v>1</v>
      </c>
      <c r="G6" s="23">
        <v>14</v>
      </c>
    </row>
    <row r="7" spans="1:9" ht="21.75" customHeight="1" thickBot="1" x14ac:dyDescent="0.4">
      <c r="A7" s="44" t="s">
        <v>48</v>
      </c>
      <c r="B7" s="38" t="s">
        <v>42</v>
      </c>
      <c r="C7" s="39">
        <v>30</v>
      </c>
      <c r="D7" s="26">
        <v>0</v>
      </c>
      <c r="E7" s="42">
        <v>5</v>
      </c>
    </row>
    <row r="8" spans="1:9" ht="24" thickBot="1" x14ac:dyDescent="0.4">
      <c r="A8" s="35">
        <f>WEEKDAY(Month_Start)</f>
        <v>2</v>
      </c>
      <c r="B8" s="38" t="s">
        <v>43</v>
      </c>
      <c r="C8" s="39">
        <v>31</v>
      </c>
      <c r="D8" s="26">
        <v>1</v>
      </c>
      <c r="E8" s="42">
        <v>6</v>
      </c>
    </row>
    <row r="9" spans="1:9" ht="24" thickBot="1" x14ac:dyDescent="0.4">
      <c r="A9" s="54" t="s">
        <v>51</v>
      </c>
      <c r="B9" s="38" t="s">
        <v>44</v>
      </c>
      <c r="C9" s="39">
        <v>31</v>
      </c>
      <c r="D9" s="26">
        <v>0</v>
      </c>
      <c r="E9" s="43">
        <v>7</v>
      </c>
      <c r="H9" s="48"/>
    </row>
    <row r="10" spans="1:9" ht="24" thickBot="1" x14ac:dyDescent="0.4">
      <c r="A10" s="28" t="str">
        <f>F2&amp;G2&amp;H2&amp;I2</f>
        <v>2019</v>
      </c>
      <c r="B10" s="38" t="s">
        <v>35</v>
      </c>
      <c r="C10" s="39">
        <v>30</v>
      </c>
      <c r="D10" s="26">
        <v>0</v>
      </c>
      <c r="E10" s="42">
        <v>8</v>
      </c>
    </row>
    <row r="11" spans="1:9" ht="24" thickBot="1" x14ac:dyDescent="0.4">
      <c r="A11" s="44" t="s">
        <v>47</v>
      </c>
      <c r="B11" s="38" t="s">
        <v>36</v>
      </c>
      <c r="C11" s="39">
        <v>31</v>
      </c>
      <c r="D11" s="26">
        <v>0</v>
      </c>
      <c r="E11" s="42">
        <v>9</v>
      </c>
      <c r="G11" s="53"/>
    </row>
    <row r="12" spans="1:9" ht="24" thickBot="1" x14ac:dyDescent="0.4">
      <c r="A12" s="56">
        <f>Month_Start</f>
        <v>43647</v>
      </c>
      <c r="B12" s="38" t="s">
        <v>45</v>
      </c>
      <c r="C12" s="39">
        <v>30</v>
      </c>
      <c r="D12" s="26">
        <v>0</v>
      </c>
    </row>
    <row r="13" spans="1:9" ht="24" thickBot="1" x14ac:dyDescent="0.4">
      <c r="A13" s="44" t="s">
        <v>49</v>
      </c>
      <c r="B13" s="40" t="s">
        <v>46</v>
      </c>
      <c r="C13" s="41">
        <v>31</v>
      </c>
      <c r="D13" s="27">
        <v>0</v>
      </c>
      <c r="G13" s="51"/>
    </row>
    <row r="14" spans="1:9" ht="24" thickBot="1" x14ac:dyDescent="0.4">
      <c r="A14" s="56">
        <f>month_end</f>
        <v>43677</v>
      </c>
    </row>
  </sheetData>
  <mergeCells count="4">
    <mergeCell ref="B1:C1"/>
    <mergeCell ref="F1:I1"/>
    <mergeCell ref="F3:I3"/>
    <mergeCell ref="F4:I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G35"/>
  <sheetViews>
    <sheetView topLeftCell="A10" workbookViewId="0">
      <selection activeCell="G21" sqref="G21"/>
    </sheetView>
  </sheetViews>
  <sheetFormatPr defaultRowHeight="23.25" x14ac:dyDescent="0.35"/>
  <cols>
    <col min="1" max="1" width="11.58203125" style="22" customWidth="1"/>
    <col min="2" max="16384" width="8.6640625" style="22"/>
  </cols>
  <sheetData>
    <row r="1" spans="1:7" ht="24" thickBot="1" x14ac:dyDescent="0.4">
      <c r="A1" s="105" t="s">
        <v>71</v>
      </c>
      <c r="B1" s="106"/>
      <c r="C1" s="106"/>
      <c r="D1" s="106"/>
      <c r="E1" s="106"/>
      <c r="F1" s="106"/>
      <c r="G1" s="107"/>
    </row>
    <row r="2" spans="1:7" ht="24" thickBot="1" x14ac:dyDescent="0.4"/>
    <row r="3" spans="1:7" ht="24" thickBot="1" x14ac:dyDescent="0.4">
      <c r="A3" s="105" t="s">
        <v>70</v>
      </c>
      <c r="B3" s="106"/>
      <c r="C3" s="106"/>
      <c r="D3" s="106"/>
      <c r="E3" s="106"/>
      <c r="F3" s="106"/>
      <c r="G3" s="107"/>
    </row>
    <row r="4" spans="1:7" ht="24" thickBot="1" x14ac:dyDescent="0.4">
      <c r="A4" s="58"/>
      <c r="B4" s="58"/>
      <c r="C4" s="58"/>
      <c r="D4" s="58"/>
      <c r="E4" s="58"/>
      <c r="F4" s="58"/>
      <c r="G4" s="58"/>
    </row>
    <row r="5" spans="1:7" ht="24" thickBot="1" x14ac:dyDescent="0.4">
      <c r="A5" s="109" t="s">
        <v>84</v>
      </c>
      <c r="B5" s="110"/>
      <c r="C5" s="110" t="s">
        <v>72</v>
      </c>
      <c r="D5" s="110"/>
      <c r="E5" s="110" t="s">
        <v>73</v>
      </c>
      <c r="F5" s="110"/>
      <c r="G5" s="59" t="s">
        <v>105</v>
      </c>
    </row>
    <row r="6" spans="1:7" ht="24" thickTop="1" x14ac:dyDescent="0.35">
      <c r="A6" s="108" t="s">
        <v>65</v>
      </c>
      <c r="B6" s="108"/>
      <c r="C6" s="108" t="s">
        <v>79</v>
      </c>
      <c r="D6" s="108"/>
      <c r="E6" s="108" t="s">
        <v>74</v>
      </c>
      <c r="F6" s="108"/>
      <c r="G6" s="60" t="s">
        <v>106</v>
      </c>
    </row>
    <row r="7" spans="1:7" x14ac:dyDescent="0.35">
      <c r="A7" s="104" t="s">
        <v>66</v>
      </c>
      <c r="B7" s="104"/>
      <c r="C7" s="104" t="s">
        <v>80</v>
      </c>
      <c r="D7" s="104"/>
      <c r="E7" s="104" t="s">
        <v>75</v>
      </c>
      <c r="F7" s="104"/>
      <c r="G7" s="61" t="s">
        <v>106</v>
      </c>
    </row>
    <row r="8" spans="1:7" x14ac:dyDescent="0.35">
      <c r="A8" s="104" t="s">
        <v>67</v>
      </c>
      <c r="B8" s="104"/>
      <c r="C8" s="104" t="s">
        <v>81</v>
      </c>
      <c r="D8" s="104"/>
      <c r="E8" s="104" t="s">
        <v>76</v>
      </c>
      <c r="F8" s="104"/>
      <c r="G8" s="61" t="s">
        <v>106</v>
      </c>
    </row>
    <row r="9" spans="1:7" x14ac:dyDescent="0.35">
      <c r="A9" s="104" t="s">
        <v>68</v>
      </c>
      <c r="B9" s="104"/>
      <c r="C9" s="104" t="s">
        <v>82</v>
      </c>
      <c r="D9" s="104"/>
      <c r="E9" s="104" t="s">
        <v>77</v>
      </c>
      <c r="F9" s="104"/>
      <c r="G9" s="61" t="s">
        <v>106</v>
      </c>
    </row>
    <row r="10" spans="1:7" x14ac:dyDescent="0.35">
      <c r="A10" s="104" t="s">
        <v>69</v>
      </c>
      <c r="B10" s="104"/>
      <c r="C10" s="104" t="s">
        <v>83</v>
      </c>
      <c r="D10" s="104"/>
      <c r="E10" s="104" t="s">
        <v>78</v>
      </c>
      <c r="F10" s="104"/>
      <c r="G10" s="61" t="s">
        <v>106</v>
      </c>
    </row>
    <row r="11" spans="1:7" x14ac:dyDescent="0.35">
      <c r="A11" s="104" t="s">
        <v>87</v>
      </c>
      <c r="B11" s="104"/>
      <c r="C11" s="104" t="s">
        <v>89</v>
      </c>
      <c r="D11" s="104"/>
      <c r="E11" s="104" t="s">
        <v>88</v>
      </c>
      <c r="F11" s="104"/>
      <c r="G11" s="61" t="s">
        <v>107</v>
      </c>
    </row>
    <row r="12" spans="1:7" x14ac:dyDescent="0.35">
      <c r="A12" s="104" t="s">
        <v>86</v>
      </c>
      <c r="B12" s="104"/>
      <c r="C12" s="104" t="s">
        <v>100</v>
      </c>
      <c r="D12" s="104"/>
      <c r="E12" s="104" t="s">
        <v>98</v>
      </c>
      <c r="F12" s="104"/>
      <c r="G12" s="61" t="s">
        <v>108</v>
      </c>
    </row>
    <row r="13" spans="1:7" x14ac:dyDescent="0.35">
      <c r="A13" s="104" t="s">
        <v>85</v>
      </c>
      <c r="B13" s="104"/>
      <c r="C13" s="104" t="s">
        <v>101</v>
      </c>
      <c r="D13" s="104"/>
      <c r="E13" s="104" t="s">
        <v>99</v>
      </c>
      <c r="F13" s="104"/>
      <c r="G13" s="61" t="s">
        <v>108</v>
      </c>
    </row>
    <row r="14" spans="1:7" ht="24" thickBot="1" x14ac:dyDescent="0.4"/>
    <row r="15" spans="1:7" ht="24" thickBot="1" x14ac:dyDescent="0.4">
      <c r="A15" s="105" t="s">
        <v>104</v>
      </c>
      <c r="B15" s="106"/>
      <c r="C15" s="106"/>
      <c r="D15" s="106"/>
      <c r="E15" s="106"/>
      <c r="F15" s="106"/>
      <c r="G15" s="107"/>
    </row>
    <row r="16" spans="1:7" ht="24" thickBot="1" x14ac:dyDescent="0.4">
      <c r="A16" s="58"/>
      <c r="B16" s="58"/>
      <c r="C16" s="58"/>
      <c r="D16" s="58"/>
      <c r="E16" s="58"/>
      <c r="F16" s="58"/>
      <c r="G16" s="58"/>
    </row>
    <row r="17" spans="1:7" ht="24" thickBot="1" x14ac:dyDescent="0.4">
      <c r="A17" s="111" t="s">
        <v>84</v>
      </c>
      <c r="B17" s="112"/>
      <c r="C17" s="112" t="s">
        <v>72</v>
      </c>
      <c r="D17" s="112"/>
      <c r="E17" s="112" t="s">
        <v>73</v>
      </c>
      <c r="F17" s="112"/>
      <c r="G17" s="59" t="s">
        <v>105</v>
      </c>
    </row>
    <row r="18" spans="1:7" ht="24" thickTop="1" x14ac:dyDescent="0.35">
      <c r="A18" s="108" t="s">
        <v>90</v>
      </c>
      <c r="B18" s="108"/>
      <c r="C18" s="108" t="s">
        <v>92</v>
      </c>
      <c r="D18" s="108"/>
      <c r="E18" s="108" t="s">
        <v>91</v>
      </c>
      <c r="F18" s="108"/>
      <c r="G18" s="60" t="s">
        <v>106</v>
      </c>
    </row>
    <row r="19" spans="1:7" x14ac:dyDescent="0.35">
      <c r="A19" s="104" t="s">
        <v>93</v>
      </c>
      <c r="B19" s="104"/>
      <c r="C19" s="104" t="s">
        <v>130</v>
      </c>
      <c r="D19" s="104"/>
      <c r="E19" s="104" t="s">
        <v>94</v>
      </c>
      <c r="F19" s="104"/>
      <c r="G19" s="61" t="s">
        <v>107</v>
      </c>
    </row>
    <row r="20" spans="1:7" x14ac:dyDescent="0.35">
      <c r="A20" s="104" t="s">
        <v>95</v>
      </c>
      <c r="B20" s="104"/>
      <c r="C20" s="104" t="s">
        <v>96</v>
      </c>
      <c r="D20" s="104"/>
      <c r="E20" s="104" t="s">
        <v>97</v>
      </c>
      <c r="F20" s="104"/>
      <c r="G20" s="61" t="s">
        <v>107</v>
      </c>
    </row>
    <row r="21" spans="1:7" x14ac:dyDescent="0.35">
      <c r="A21" s="104" t="s">
        <v>102</v>
      </c>
      <c r="B21" s="104"/>
      <c r="C21" s="104" t="s">
        <v>103</v>
      </c>
      <c r="D21" s="104"/>
      <c r="E21" s="104" t="s">
        <v>109</v>
      </c>
      <c r="F21" s="104"/>
      <c r="G21" s="61" t="s">
        <v>108</v>
      </c>
    </row>
    <row r="22" spans="1:7" ht="24" thickBot="1" x14ac:dyDescent="0.4">
      <c r="A22" s="113"/>
      <c r="B22" s="113"/>
      <c r="C22" s="113"/>
      <c r="D22" s="113"/>
      <c r="E22" s="113"/>
      <c r="F22" s="113"/>
      <c r="G22" s="62"/>
    </row>
    <row r="23" spans="1:7" ht="24" thickBot="1" x14ac:dyDescent="0.4">
      <c r="A23" s="105" t="s">
        <v>110</v>
      </c>
      <c r="B23" s="106"/>
      <c r="C23" s="106"/>
      <c r="D23" s="106"/>
      <c r="E23" s="106"/>
      <c r="F23" s="106"/>
      <c r="G23" s="107"/>
    </row>
    <row r="25" spans="1:7" x14ac:dyDescent="0.35">
      <c r="A25" s="114" t="s">
        <v>111</v>
      </c>
      <c r="B25" s="114"/>
      <c r="C25" s="114" t="s">
        <v>112</v>
      </c>
      <c r="D25" s="114"/>
      <c r="E25" s="114"/>
      <c r="F25" s="22" t="s">
        <v>116</v>
      </c>
      <c r="G25" s="22" t="s">
        <v>117</v>
      </c>
    </row>
    <row r="26" spans="1:7" x14ac:dyDescent="0.35">
      <c r="A26" s="114" t="s">
        <v>114</v>
      </c>
      <c r="B26" s="114"/>
      <c r="C26" s="114" t="s">
        <v>115</v>
      </c>
      <c r="D26" s="114"/>
      <c r="E26" s="114"/>
      <c r="F26" s="62" t="s">
        <v>118</v>
      </c>
      <c r="G26" s="62" t="s">
        <v>107</v>
      </c>
    </row>
    <row r="27" spans="1:7" x14ac:dyDescent="0.35">
      <c r="A27" s="114" t="s">
        <v>113</v>
      </c>
      <c r="B27" s="114"/>
      <c r="C27" s="114"/>
      <c r="D27" s="114"/>
      <c r="E27" s="114"/>
      <c r="F27" s="114"/>
      <c r="G27" s="114"/>
    </row>
    <row r="28" spans="1:7" x14ac:dyDescent="0.35">
      <c r="A28" s="62" t="s">
        <v>122</v>
      </c>
      <c r="B28" s="62" t="s">
        <v>123</v>
      </c>
      <c r="C28" s="114" t="s">
        <v>124</v>
      </c>
      <c r="D28" s="114"/>
      <c r="E28" s="114"/>
      <c r="F28" s="114"/>
      <c r="G28" s="114"/>
    </row>
    <row r="29" spans="1:7" x14ac:dyDescent="0.35">
      <c r="A29" s="22" t="s">
        <v>119</v>
      </c>
      <c r="B29" s="22" t="s">
        <v>125</v>
      </c>
      <c r="C29" s="114" t="s">
        <v>120</v>
      </c>
      <c r="D29" s="114"/>
      <c r="E29" s="114"/>
      <c r="F29" s="114"/>
      <c r="G29" s="114"/>
    </row>
    <row r="30" spans="1:7" x14ac:dyDescent="0.35">
      <c r="A30" s="114" t="s">
        <v>121</v>
      </c>
      <c r="B30" s="114"/>
      <c r="C30" s="114"/>
      <c r="D30" s="114"/>
      <c r="E30" s="114"/>
      <c r="F30" s="114"/>
      <c r="G30" s="114"/>
    </row>
    <row r="31" spans="1:7" x14ac:dyDescent="0.35">
      <c r="A31" s="22" t="s">
        <v>122</v>
      </c>
      <c r="B31" s="22" t="s">
        <v>123</v>
      </c>
    </row>
    <row r="32" spans="1:7" x14ac:dyDescent="0.35">
      <c r="A32" s="22" t="s">
        <v>128</v>
      </c>
      <c r="B32" s="22" t="s">
        <v>125</v>
      </c>
    </row>
    <row r="33" spans="1:2" x14ac:dyDescent="0.35">
      <c r="A33" s="22" t="s">
        <v>126</v>
      </c>
      <c r="B33" s="22" t="s">
        <v>107</v>
      </c>
    </row>
    <row r="34" spans="1:2" x14ac:dyDescent="0.35">
      <c r="A34" s="22" t="s">
        <v>129</v>
      </c>
    </row>
    <row r="35" spans="1:2" x14ac:dyDescent="0.35">
      <c r="A35" s="22" t="s">
        <v>127</v>
      </c>
      <c r="B35" s="22" t="s">
        <v>107</v>
      </c>
    </row>
  </sheetData>
  <mergeCells count="57">
    <mergeCell ref="A27:G27"/>
    <mergeCell ref="A30:G30"/>
    <mergeCell ref="C28:G28"/>
    <mergeCell ref="C29:G29"/>
    <mergeCell ref="A23:G23"/>
    <mergeCell ref="A25:B25"/>
    <mergeCell ref="A26:B26"/>
    <mergeCell ref="C25:E25"/>
    <mergeCell ref="C26:E26"/>
    <mergeCell ref="A22:B22"/>
    <mergeCell ref="C22:D22"/>
    <mergeCell ref="E22:F22"/>
    <mergeCell ref="A20:B20"/>
    <mergeCell ref="C20:D20"/>
    <mergeCell ref="E20:F20"/>
    <mergeCell ref="A21:B21"/>
    <mergeCell ref="C21:D21"/>
    <mergeCell ref="E21:F21"/>
    <mergeCell ref="A18:B18"/>
    <mergeCell ref="C18:D18"/>
    <mergeCell ref="E18:F18"/>
    <mergeCell ref="A19:B19"/>
    <mergeCell ref="C19:D19"/>
    <mergeCell ref="E19:F19"/>
    <mergeCell ref="A13:B13"/>
    <mergeCell ref="C13:D13"/>
    <mergeCell ref="E13:F13"/>
    <mergeCell ref="A15:G15"/>
    <mergeCell ref="A17:B17"/>
    <mergeCell ref="C17:D17"/>
    <mergeCell ref="E17:F17"/>
    <mergeCell ref="A11:B11"/>
    <mergeCell ref="C11:D11"/>
    <mergeCell ref="E11:F11"/>
    <mergeCell ref="A12:B12"/>
    <mergeCell ref="C12:D12"/>
    <mergeCell ref="E12:F12"/>
    <mergeCell ref="A1:G1"/>
    <mergeCell ref="C5:D5"/>
    <mergeCell ref="E5:F5"/>
    <mergeCell ref="C6:D6"/>
    <mergeCell ref="C7:D7"/>
    <mergeCell ref="A9:B9"/>
    <mergeCell ref="A10:B10"/>
    <mergeCell ref="A3:G3"/>
    <mergeCell ref="C9:D9"/>
    <mergeCell ref="C10:D10"/>
    <mergeCell ref="E9:F9"/>
    <mergeCell ref="E10:F10"/>
    <mergeCell ref="C8:D8"/>
    <mergeCell ref="E6:F6"/>
    <mergeCell ref="E7:F7"/>
    <mergeCell ref="E8:F8"/>
    <mergeCell ref="A5:B5"/>
    <mergeCell ref="A6:B6"/>
    <mergeCell ref="A7:B7"/>
    <mergeCell ref="A8:B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Start Page</vt:lpstr>
      <vt:lpstr>Employee Preferences</vt:lpstr>
      <vt:lpstr>EE_PREF_DB</vt:lpstr>
      <vt:lpstr>Tote Sort Schedule</vt:lpstr>
      <vt:lpstr>App Data</vt:lpstr>
      <vt:lpstr>Employee Class Description</vt:lpstr>
      <vt:lpstr>cal_start</vt:lpstr>
      <vt:lpstr>Date_Code</vt:lpstr>
      <vt:lpstr>emp_count</vt:lpstr>
      <vt:lpstr>list_seg</vt:lpstr>
      <vt:lpstr>month_end</vt:lpstr>
      <vt:lpstr>month_name</vt:lpstr>
      <vt:lpstr>Month_Start</vt:lpstr>
      <vt:lpstr>pindex</vt:lpstr>
      <vt:lpstr>stp_chk</vt:lpstr>
      <vt:lpstr>year</vt:lpstr>
      <vt:lpstr>year_box</vt:lpstr>
    </vt:vector>
  </TitlesOfParts>
  <Company>UPS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Tyra Jonathan (VCQ5LXR)</dc:creator>
  <cp:lastModifiedBy>Tyra Jonathan (VCQ5LXR)</cp:lastModifiedBy>
  <cp:lastPrinted>2018-12-21T02:23:38Z</cp:lastPrinted>
  <dcterms:created xsi:type="dcterms:W3CDTF">2018-11-25T05:52:35Z</dcterms:created>
  <dcterms:modified xsi:type="dcterms:W3CDTF">2018-12-21T05:50:14Z</dcterms:modified>
</cp:coreProperties>
</file>