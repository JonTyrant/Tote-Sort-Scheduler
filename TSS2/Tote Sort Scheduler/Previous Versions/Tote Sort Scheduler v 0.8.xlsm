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q5lxr\Desktop\"/>
    </mc:Choice>
  </mc:AlternateContent>
  <bookViews>
    <workbookView xWindow="0" yWindow="0" windowWidth="19170" windowHeight="11355" tabRatio="707"/>
  </bookViews>
  <sheets>
    <sheet name="EEPREF" sheetId="13" r:id="rId1"/>
    <sheet name="Start Page" sheetId="4" r:id="rId2"/>
    <sheet name="Employee Preferences" sheetId="1" r:id="rId3"/>
    <sheet name="Tote Sort Schedule" sheetId="2" r:id="rId4"/>
    <sheet name="App Data" sheetId="3" r:id="rId5"/>
    <sheet name="Employee Class Description" sheetId="5" r:id="rId6"/>
  </sheets>
  <functionGroups builtInGroupCount="18"/>
  <definedNames>
    <definedName name="cal_start">'App Data'!$A$8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D20" i="1"/>
  <c r="E20" i="1"/>
  <c r="F20" i="1"/>
  <c r="B20" i="1"/>
  <c r="A14" i="3" l="1"/>
  <c r="A12" i="3"/>
  <c r="F4" i="3" l="1"/>
  <c r="A1" i="2" l="1"/>
  <c r="A10" i="3"/>
  <c r="A8" i="3"/>
  <c r="A2" i="3"/>
</calcChain>
</file>

<file path=xl/sharedStrings.xml><?xml version="1.0" encoding="utf-8"?>
<sst xmlns="http://schemas.openxmlformats.org/spreadsheetml/2006/main" count="195" uniqueCount="134">
  <si>
    <t>Name</t>
  </si>
  <si>
    <t xml:space="preserve">Mon </t>
  </si>
  <si>
    <t>Tue</t>
  </si>
  <si>
    <t>Wed</t>
  </si>
  <si>
    <t>Thur</t>
  </si>
  <si>
    <t>Fri</t>
  </si>
  <si>
    <t>Double</t>
  </si>
  <si>
    <t>Jon Tyra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</si>
  <si>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</si>
  <si>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</si>
  <si>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</si>
  <si>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</si>
  <si>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</si>
  <si>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</si>
  <si>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</si>
  <si>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</si>
  <si>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</si>
  <si>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</si>
  <si>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</si>
  <si>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</si>
  <si>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</si>
  <si>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</si>
  <si>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To Create Preferences</t>
  </si>
  <si>
    <t>Double In Preceding Month</t>
  </si>
  <si>
    <t xml:space="preserve">Sun </t>
  </si>
  <si>
    <t>Mon</t>
  </si>
  <si>
    <t>Sat</t>
  </si>
  <si>
    <t>Alex Pack</t>
  </si>
  <si>
    <t>Place 0 in box to exclude opt</t>
  </si>
  <si>
    <t>Place 1 in box to include day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</si>
  <si>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</si>
  <si>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</si>
  <si>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</si>
  <si>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</si>
  <si>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</si>
  <si>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</si>
  <si>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</si>
  <si>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</si>
  <si>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</si>
  <si>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</si>
  <si>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</si>
  <si>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</si>
  <si>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</si>
  <si>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</si>
  <si>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</si>
  <si>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</si>
  <si>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</si>
  <si>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</si>
  <si>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</si>
  <si>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</si>
  <si>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</si>
  <si>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</si>
  <si>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</si>
  <si>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</si>
  <si>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</si>
  <si>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Used Count</t>
  </si>
  <si>
    <t>Step 1</t>
  </si>
  <si>
    <t>Prev Index</t>
  </si>
  <si>
    <t>Poop</t>
  </si>
  <si>
    <t>Tote Sort Scheduler v 0.7</t>
  </si>
  <si>
    <t>1</t>
  </si>
  <si>
    <t>9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</si>
  <si>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</si>
  <si>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</si>
  <si>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</si>
  <si>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</si>
  <si>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</si>
  <si>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</si>
  <si>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</si>
  <si>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</si>
  <si>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</si>
  <si>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</si>
  <si>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</si>
  <si>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</si>
  <si>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</si>
  <si>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</si>
  <si>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</si>
  <si>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</si>
  <si>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</si>
  <si>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</si>
  <si>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</si>
  <si>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</si>
  <si>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</si>
  <si>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</si>
  <si>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</si>
  <si>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</si>
  <si>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</si>
  <si>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</si>
  <si>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</si>
  <si>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</si>
  <si>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</si>
  <si>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</si>
  <si>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</si>
  <si>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</si>
  <si>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</si>
  <si>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</si>
  <si>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</si>
  <si>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</si>
  <si>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</si>
  <si>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</si>
  <si>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</si>
  <si>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</si>
  <si>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</si>
  <si>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</si>
  <si>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</si>
  <si>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</si>
  <si>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</si>
  <si>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</si>
  <si>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</si>
  <si>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</si>
  <si>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</si>
  <si>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</si>
  <si>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</si>
  <si>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</si>
  <si>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</si>
  <si>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</si>
  <si>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</si>
  <si>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</si>
  <si>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</si>
  <si>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</si>
  <si>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</si>
  <si>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</si>
  <si>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</si>
  <si>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</si>
  <si>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</si>
  <si>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</si>
  <si>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</si>
  <si>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</si>
  <si>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NO SORT</t>
  </si>
  <si>
    <t>No Match Found</t>
  </si>
  <si>
    <t>DBL</t>
  </si>
  <si>
    <t>Email</t>
  </si>
  <si>
    <t>JOn</t>
  </si>
  <si>
    <t>turds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</si>
</sst>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8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15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6" borderId="25" xfId="0" applyNumberFormat="1" applyFill="1" applyBorder="1" applyAlignment="1">
      <alignment horizontal="center" shrinkToFit="1"/>
    </xf>
    <xf numFmtId="0" fontId="0" fillId="6" borderId="27" xfId="0" applyNumberFormat="1" applyFill="1" applyBorder="1" applyAlignment="1">
      <alignment horizontal="center" shrinkToFit="1"/>
    </xf>
    <xf numFmtId="0" fontId="0" fillId="6" borderId="36" xfId="0" applyFill="1" applyBorder="1" applyAlignment="1">
      <alignment horizontal="center" shrinkToFit="1"/>
    </xf>
    <xf numFmtId="0" fontId="0" fillId="6" borderId="41" xfId="0" applyFill="1" applyBorder="1" applyAlignment="1">
      <alignment horizontal="center" shrinkToFit="1"/>
    </xf>
    <xf numFmtId="0" fontId="0" fillId="6" borderId="37" xfId="0" applyFill="1" applyBorder="1" applyAlignment="1">
      <alignment horizontal="center" shrinkToFit="1"/>
    </xf>
    <xf numFmtId="0" fontId="0" fillId="5" borderId="25" xfId="0" applyNumberFormat="1" applyFill="1" applyBorder="1" applyAlignment="1">
      <alignment horizontal="center" shrinkToFit="1"/>
    </xf>
    <xf numFmtId="0" fontId="0" fillId="5" borderId="27" xfId="0" applyFill="1" applyBorder="1" applyAlignment="1">
      <alignment horizontal="center" shrinkToFit="1"/>
    </xf>
    <xf numFmtId="0" fontId="0" fillId="8" borderId="15" xfId="0" applyFill="1" applyBorder="1" applyAlignment="1">
      <alignment shrinkToFit="1"/>
    </xf>
    <xf numFmtId="0" fontId="0" fillId="8" borderId="39" xfId="0" applyFill="1" applyBorder="1" applyAlignment="1">
      <alignment horizontal="center" shrinkToFit="1"/>
    </xf>
    <xf numFmtId="0" fontId="0" fillId="8" borderId="11" xfId="0" applyFill="1" applyBorder="1" applyAlignment="1">
      <alignment shrinkToFit="1"/>
    </xf>
    <xf numFmtId="0" fontId="0" fillId="8" borderId="28" xfId="0" applyFill="1" applyBorder="1" applyAlignment="1">
      <alignment horizontal="center" shrinkToFit="1"/>
    </xf>
    <xf numFmtId="0" fontId="0" fillId="8" borderId="35" xfId="0" applyFill="1" applyBorder="1" applyAlignment="1">
      <alignment shrinkToFit="1"/>
    </xf>
    <xf numFmtId="0" fontId="0" fillId="8" borderId="40" xfId="0" applyFill="1" applyBorder="1" applyAlignment="1">
      <alignment horizontal="center" shrinkToFit="1"/>
    </xf>
    <xf numFmtId="0" fontId="0" fillId="8" borderId="25" xfId="0" applyFill="1" applyBorder="1" applyAlignment="1">
      <alignment horizontal="center" shrinkToFit="1"/>
    </xf>
    <xf numFmtId="0" fontId="0" fillId="8" borderId="42" xfId="0" applyFill="1" applyBorder="1" applyAlignment="1">
      <alignment horizontal="center" shrinkToFit="1"/>
    </xf>
    <xf numFmtId="0" fontId="0" fillId="9" borderId="25" xfId="0" applyFill="1" applyBorder="1" applyAlignment="1">
      <alignment shrinkToFit="1"/>
    </xf>
    <xf numFmtId="0" fontId="0" fillId="9" borderId="26" xfId="0" applyFont="1" applyFill="1" applyBorder="1" applyAlignment="1">
      <alignment shrinkToFit="1"/>
    </xf>
    <xf numFmtId="0" fontId="0" fillId="9" borderId="25" xfId="0" applyFont="1" applyFill="1" applyBorder="1" applyAlignment="1">
      <alignment shrinkToFit="1"/>
    </xf>
    <xf numFmtId="0" fontId="0" fillId="9" borderId="25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10" borderId="0" xfId="0" applyFill="1"/>
    <xf numFmtId="0" fontId="0" fillId="0" borderId="25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6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9" borderId="26" xfId="0" applyFill="1" applyBorder="1" applyAlignment="1">
      <alignment horizontal="center" shrinkToFit="1"/>
    </xf>
    <xf numFmtId="0" fontId="0" fillId="6" borderId="25" xfId="0" applyFill="1" applyBorder="1" applyAlignment="1">
      <alignment horizontal="center" shrinkToFit="1"/>
    </xf>
    <xf numFmtId="14" fontId="0" fillId="6" borderId="27" xfId="0" applyNumberFormat="1" applyFill="1" applyBorder="1" applyAlignment="1">
      <alignment horizontal="center" shrinkToFit="1"/>
    </xf>
    <xf numFmtId="0" fontId="1" fillId="0" borderId="0" xfId="0" applyFont="1" applyFill="1" applyBorder="1"/>
    <xf numFmtId="0" fontId="0" fillId="0" borderId="0" xfId="0" applyBorder="1" applyAlignment="1">
      <alignment horizontal="center" shrinkToFit="1"/>
    </xf>
    <xf numFmtId="0" fontId="0" fillId="0" borderId="45" xfId="0" applyBorder="1" applyAlignment="1">
      <alignment horizontal="center" shrinkToFit="1"/>
    </xf>
    <xf numFmtId="0" fontId="0" fillId="0" borderId="46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32" xfId="0" applyFont="1" applyFill="1" applyBorder="1" applyAlignment="1">
      <alignment horizontal="center" vertical="center"/>
    </xf>
    <xf numFmtId="0" fontId="5" fillId="7" borderId="33" xfId="0" applyFont="1" applyFill="1" applyBorder="1" applyAlignment="1">
      <alignment horizontal="center" vertical="center"/>
    </xf>
    <xf numFmtId="0" fontId="5" fillId="7" borderId="3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164" fontId="5" fillId="0" borderId="5" xfId="0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164" fontId="5" fillId="0" borderId="9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4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9" borderId="18" xfId="0" applyFont="1" applyFill="1" applyBorder="1" applyAlignment="1">
      <alignment horizontal="center" shrinkToFit="1"/>
    </xf>
    <xf numFmtId="0" fontId="0" fillId="9" borderId="38" xfId="0" applyFont="1" applyFill="1" applyBorder="1" applyAlignment="1">
      <alignment horizontal="center" shrinkToFit="1"/>
    </xf>
    <xf numFmtId="0" fontId="0" fillId="9" borderId="29" xfId="0" applyFont="1" applyFill="1" applyBorder="1" applyAlignment="1">
      <alignment horizontal="center" shrinkToFit="1"/>
    </xf>
    <xf numFmtId="0" fontId="0" fillId="9" borderId="30" xfId="0" applyFont="1" applyFill="1" applyBorder="1" applyAlignment="1">
      <alignment horizontal="center" shrinkToFit="1"/>
    </xf>
    <xf numFmtId="0" fontId="0" fillId="9" borderId="31" xfId="0" applyFont="1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0" borderId="6" xfId="0" applyFill="1" applyBorder="1" applyAlignment="1">
      <alignment horizontal="center" shrinkToFit="1"/>
    </xf>
    <xf numFmtId="0" fontId="0" fillId="0" borderId="7" xfId="0" applyFill="1" applyBorder="1" applyAlignment="1">
      <alignment horizontal="center" shrinkToFit="1"/>
    </xf>
    <xf numFmtId="0" fontId="0" fillId="6" borderId="29" xfId="0" applyFill="1" applyBorder="1" applyAlignment="1">
      <alignment horizontal="center" shrinkToFit="1"/>
    </xf>
    <xf numFmtId="0" fontId="0" fillId="6" borderId="30" xfId="0" applyFill="1" applyBorder="1" applyAlignment="1">
      <alignment horizontal="center" shrinkToFit="1"/>
    </xf>
    <xf numFmtId="0" fontId="0" fillId="6" borderId="31" xfId="0" applyFill="1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0" fillId="0" borderId="46" xfId="0" applyBorder="1" applyAlignment="1">
      <alignment horizontal="center" vertical="center" shrinkToFit="1"/>
    </xf>
    <xf numFmtId="0" fontId="0" fillId="0" borderId="43" xfId="0" applyBorder="1" applyAlignment="1">
      <alignment horizontal="center" shrinkToFit="1"/>
    </xf>
    <xf numFmtId="0" fontId="0" fillId="0" borderId="44" xfId="0" applyBorder="1" applyAlignment="1">
      <alignment horizontal="center" shrinkToFit="1"/>
    </xf>
    <xf numFmtId="0" fontId="0" fillId="0" borderId="43" xfId="0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1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5</xdr:row>
          <xdr:rowOff>190500</xdr:rowOff>
        </xdr:from>
        <xdr:to>
          <xdr:col>8</xdr:col>
          <xdr:colOff>647700</xdr:colOff>
          <xdr:row>9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85725</xdr:rowOff>
        </xdr:from>
        <xdr:to>
          <xdr:col>12</xdr:col>
          <xdr:colOff>571500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Preferences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"/>
  <sheetViews>
    <sheetView tabSelected="1" workbookViewId="0">
      <selection activeCell="D8" sqref="D8"/>
    </sheetView>
  </sheetViews>
  <sheetFormatPr defaultRowHeight="23.25" x14ac:dyDescent="0.35"/>
  <sheetData>
    <row r="1" spans="1:8" x14ac:dyDescent="0.35">
      <c r="A1" t="s">
        <v>0</v>
      </c>
      <c r="B1" t="s">
        <v>131</v>
      </c>
      <c r="C1" t="s">
        <v>25</v>
      </c>
      <c r="D1" t="s">
        <v>2</v>
      </c>
      <c r="E1" t="s">
        <v>3</v>
      </c>
      <c r="F1" t="s">
        <v>4</v>
      </c>
      <c r="G1" t="s">
        <v>5</v>
      </c>
      <c r="H1" t="s">
        <v>130</v>
      </c>
    </row>
    <row r="2" spans="1:8" x14ac:dyDescent="0.35">
      <c r="A2" t="s">
        <v>132</v>
      </c>
      <c r="B2" t="s">
        <v>133</v>
      </c>
      <c r="C2">
        <v>1</v>
      </c>
      <c r="D2">
        <v>0</v>
      </c>
      <c r="E2">
        <v>1</v>
      </c>
      <c r="F2">
        <v>1</v>
      </c>
      <c r="G2">
        <v>0</v>
      </c>
      <c r="H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4"/>
  <sheetViews>
    <sheetView workbookViewId="0">
      <selection activeCell="J11" sqref="J11"/>
    </sheetView>
  </sheetViews>
  <sheetFormatPr defaultRowHeight="23.25" x14ac:dyDescent="0.35"/>
  <cols>
    <col min="1" max="1" width="1.4140625" customWidth="1"/>
    <col min="7" max="7" width="3.75" customWidth="1"/>
    <col min="10" max="10" width="11.4140625" customWidth="1"/>
    <col min="12" max="12" width="13.58203125" customWidth="1"/>
  </cols>
  <sheetData>
    <row r="1" spans="1:25" ht="24" thickBot="1" x14ac:dyDescent="0.4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25" x14ac:dyDescent="0.35">
      <c r="A2" s="43"/>
      <c r="B2" s="57" t="s">
        <v>59</v>
      </c>
      <c r="C2" s="58"/>
      <c r="D2" s="58"/>
      <c r="E2" s="58"/>
      <c r="F2" s="58"/>
      <c r="G2" s="58"/>
      <c r="H2" s="58"/>
      <c r="I2" s="58"/>
      <c r="J2" s="58"/>
      <c r="K2" s="58"/>
      <c r="L2" s="59"/>
      <c r="M2" s="43"/>
    </row>
    <row r="3" spans="1:25" ht="24" thickBot="1" x14ac:dyDescent="0.4">
      <c r="A3" s="43"/>
      <c r="B3" s="60"/>
      <c r="C3" s="61"/>
      <c r="D3" s="61"/>
      <c r="E3" s="61"/>
      <c r="F3" s="61"/>
      <c r="G3" s="61"/>
      <c r="H3" s="61"/>
      <c r="I3" s="61"/>
      <c r="J3" s="61"/>
      <c r="K3" s="61"/>
      <c r="L3" s="62"/>
      <c r="M3" s="43"/>
      <c r="Y3" t="s">
        <v>58</v>
      </c>
    </row>
    <row r="4" spans="1:25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</row>
    <row r="5" spans="1:25" x14ac:dyDescent="0.35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</row>
    <row r="6" spans="1:25" x14ac:dyDescent="0.35">
      <c r="A6" s="106"/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</row>
    <row r="7" spans="1:25" x14ac:dyDescent="0.35">
      <c r="A7" s="106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</row>
    <row r="8" spans="1:25" x14ac:dyDescent="0.35">
      <c r="A8" s="106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</row>
    <row r="9" spans="1:25" x14ac:dyDescent="0.35">
      <c r="A9" s="106"/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</row>
    <row r="10" spans="1:25" x14ac:dyDescent="0.35">
      <c r="A10" s="106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</row>
    <row r="11" spans="1:25" x14ac:dyDescent="0.35">
      <c r="A11" s="106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</row>
    <row r="12" spans="1:25" x14ac:dyDescent="0.35">
      <c r="A12" s="106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</row>
    <row r="13" spans="1:25" x14ac:dyDescent="0.35">
      <c r="A13" s="106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</row>
    <row r="14" spans="1:25" x14ac:dyDescent="0.35">
      <c r="A14" s="106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</row>
  </sheetData>
  <mergeCells count="1">
    <mergeCell ref="B2:L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5</xdr:col>
                    <xdr:colOff>238125</xdr:colOff>
                    <xdr:row>5</xdr:row>
                    <xdr:rowOff>190500</xdr:rowOff>
                  </from>
                  <to>
                    <xdr:col>8</xdr:col>
                    <xdr:colOff>647700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PREF">
    <tabColor rgb="FFFFFF00"/>
  </sheetPr>
  <dimension ref="A1:M21"/>
  <sheetViews>
    <sheetView zoomScale="90" zoomScaleNormal="90" workbookViewId="0">
      <selection activeCell="I25" sqref="I25"/>
    </sheetView>
  </sheetViews>
  <sheetFormatPr defaultRowHeight="23.25" x14ac:dyDescent="0.35"/>
  <cols>
    <col min="1" max="1" width="17.9140625" customWidth="1"/>
    <col min="2" max="6" width="7.08203125" customWidth="1"/>
    <col min="8" max="8" width="13.08203125" customWidth="1"/>
    <col min="9" max="9" width="11.08203125" customWidth="1"/>
    <col min="10" max="10" width="3.33203125" customWidth="1"/>
    <col min="12" max="12" width="6.9140625" customWidth="1"/>
    <col min="13" max="13" width="6.75" customWidth="1"/>
  </cols>
  <sheetData>
    <row r="1" spans="1:13" ht="24" thickBot="1" x14ac:dyDescent="0.4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11" t="s">
        <v>23</v>
      </c>
      <c r="I1" s="7" t="s">
        <v>55</v>
      </c>
      <c r="J1" s="7"/>
    </row>
    <row r="2" spans="1:13" ht="25.5" thickTop="1" thickBot="1" x14ac:dyDescent="0.4">
      <c r="A2" s="1" t="s">
        <v>7</v>
      </c>
      <c r="B2" s="3">
        <v>1</v>
      </c>
      <c r="C2" s="3">
        <v>1</v>
      </c>
      <c r="D2" s="3">
        <v>0</v>
      </c>
      <c r="E2" s="3">
        <v>1</v>
      </c>
      <c r="F2" s="3">
        <v>0</v>
      </c>
      <c r="G2" s="3" t="s">
        <v>53</v>
      </c>
      <c r="H2" s="3">
        <v>0</v>
      </c>
      <c r="I2" s="8">
        <v>0</v>
      </c>
      <c r="J2" s="8">
        <v>0</v>
      </c>
    </row>
    <row r="3" spans="1:13" ht="24.75" thickBot="1" x14ac:dyDescent="0.4">
      <c r="A3" s="2" t="s">
        <v>8</v>
      </c>
      <c r="B3" s="4">
        <v>1</v>
      </c>
      <c r="C3" s="4">
        <v>1</v>
      </c>
      <c r="D3" s="4">
        <v>0</v>
      </c>
      <c r="E3" s="4">
        <v>0</v>
      </c>
      <c r="F3" s="4">
        <v>1</v>
      </c>
      <c r="G3" s="4">
        <v>0</v>
      </c>
      <c r="H3" s="4">
        <v>0</v>
      </c>
      <c r="I3" s="8">
        <v>0</v>
      </c>
      <c r="J3" s="8">
        <v>0</v>
      </c>
    </row>
    <row r="4" spans="1:13" ht="24.75" thickBot="1" x14ac:dyDescent="0.4">
      <c r="A4" s="2" t="s">
        <v>9</v>
      </c>
      <c r="B4" s="4">
        <v>1</v>
      </c>
      <c r="C4" s="4">
        <v>1</v>
      </c>
      <c r="D4" s="4">
        <v>0</v>
      </c>
      <c r="E4" s="4">
        <v>1</v>
      </c>
      <c r="F4" s="4">
        <v>1</v>
      </c>
      <c r="G4" s="4">
        <v>1</v>
      </c>
      <c r="H4" s="4">
        <v>0</v>
      </c>
      <c r="I4" s="8">
        <v>0</v>
      </c>
      <c r="J4" s="8">
        <v>0</v>
      </c>
    </row>
    <row r="5" spans="1:13" ht="24.75" thickBot="1" x14ac:dyDescent="0.4">
      <c r="A5" s="2" t="s">
        <v>10</v>
      </c>
      <c r="B5" s="4">
        <v>1</v>
      </c>
      <c r="C5" s="4">
        <v>1</v>
      </c>
      <c r="D5" s="4">
        <v>0</v>
      </c>
      <c r="E5" s="4">
        <v>1</v>
      </c>
      <c r="F5" s="4">
        <v>1</v>
      </c>
      <c r="G5" s="4">
        <v>1</v>
      </c>
      <c r="H5" s="4">
        <v>0</v>
      </c>
      <c r="I5" s="8">
        <v>0</v>
      </c>
      <c r="J5" s="8">
        <v>0</v>
      </c>
    </row>
    <row r="6" spans="1:13" ht="24.75" customHeight="1" thickBot="1" x14ac:dyDescent="0.4">
      <c r="A6" s="2" t="s">
        <v>11</v>
      </c>
      <c r="B6" s="4">
        <v>0</v>
      </c>
      <c r="C6" s="4">
        <v>0</v>
      </c>
      <c r="D6" s="4">
        <v>1</v>
      </c>
      <c r="E6" s="4">
        <v>0</v>
      </c>
      <c r="F6" s="4">
        <v>1</v>
      </c>
      <c r="G6" s="4">
        <v>0</v>
      </c>
      <c r="H6" s="4">
        <v>0</v>
      </c>
      <c r="I6" s="10">
        <v>0</v>
      </c>
      <c r="J6" s="10">
        <v>0</v>
      </c>
      <c r="K6" s="63" t="s">
        <v>22</v>
      </c>
      <c r="L6" s="63"/>
      <c r="M6" s="63"/>
    </row>
    <row r="7" spans="1:13" ht="24.75" thickBot="1" x14ac:dyDescent="0.4">
      <c r="A7" s="2" t="s">
        <v>12</v>
      </c>
      <c r="B7" s="4">
        <v>1</v>
      </c>
      <c r="C7" s="4">
        <v>1</v>
      </c>
      <c r="D7" s="4">
        <v>0</v>
      </c>
      <c r="E7" s="4">
        <v>1</v>
      </c>
      <c r="F7" s="4">
        <v>1</v>
      </c>
      <c r="G7" s="4">
        <v>1</v>
      </c>
      <c r="H7" s="4">
        <v>0</v>
      </c>
      <c r="I7" s="10">
        <v>0</v>
      </c>
      <c r="J7" s="10">
        <v>0</v>
      </c>
      <c r="K7" s="64" t="s">
        <v>28</v>
      </c>
      <c r="L7" s="64"/>
      <c r="M7" s="64"/>
    </row>
    <row r="8" spans="1:13" ht="24.75" thickBot="1" x14ac:dyDescent="0.4">
      <c r="A8" s="2" t="s">
        <v>13</v>
      </c>
      <c r="B8" s="4">
        <v>1</v>
      </c>
      <c r="C8" s="4">
        <v>1</v>
      </c>
      <c r="D8" s="4">
        <v>0</v>
      </c>
      <c r="E8" s="4">
        <v>1</v>
      </c>
      <c r="F8" s="4">
        <v>1</v>
      </c>
      <c r="G8" s="4">
        <v>1</v>
      </c>
      <c r="H8" s="4">
        <v>0</v>
      </c>
      <c r="I8" s="10">
        <v>0</v>
      </c>
      <c r="J8" s="10">
        <v>0</v>
      </c>
      <c r="K8" s="64" t="s">
        <v>29</v>
      </c>
      <c r="L8" s="64"/>
      <c r="M8" s="64"/>
    </row>
    <row r="9" spans="1:13" ht="24.75" thickBot="1" x14ac:dyDescent="0.4">
      <c r="A9" s="2" t="s">
        <v>14</v>
      </c>
      <c r="B9" s="4">
        <v>1</v>
      </c>
      <c r="C9" s="4">
        <v>1</v>
      </c>
      <c r="D9" s="4">
        <v>0</v>
      </c>
      <c r="E9" s="4">
        <v>1</v>
      </c>
      <c r="F9" s="4">
        <v>0</v>
      </c>
      <c r="G9" s="4">
        <v>0</v>
      </c>
      <c r="H9" s="4">
        <v>0</v>
      </c>
      <c r="I9" s="8">
        <v>0</v>
      </c>
      <c r="J9" s="8">
        <v>0</v>
      </c>
      <c r="K9" s="9"/>
      <c r="L9" s="9"/>
      <c r="M9" s="9"/>
    </row>
    <row r="10" spans="1:13" ht="24.75" thickBot="1" x14ac:dyDescent="0.4">
      <c r="A10" s="2" t="s">
        <v>31</v>
      </c>
      <c r="B10" s="4">
        <v>1</v>
      </c>
      <c r="C10" s="4">
        <v>1</v>
      </c>
      <c r="D10" s="4">
        <v>0</v>
      </c>
      <c r="E10" s="4">
        <v>0</v>
      </c>
      <c r="F10" s="4">
        <v>0</v>
      </c>
      <c r="G10" s="4">
        <v>1</v>
      </c>
      <c r="H10" s="4">
        <v>0</v>
      </c>
      <c r="I10" s="8">
        <v>0</v>
      </c>
      <c r="J10" s="8">
        <v>0</v>
      </c>
      <c r="K10" s="9"/>
      <c r="L10" s="9"/>
      <c r="M10" s="9"/>
    </row>
    <row r="11" spans="1:13" ht="24.75" thickBot="1" x14ac:dyDescent="0.4">
      <c r="A11" s="2" t="s">
        <v>15</v>
      </c>
      <c r="B11" s="4">
        <v>1</v>
      </c>
      <c r="C11" s="4">
        <v>1</v>
      </c>
      <c r="D11" s="4">
        <v>0</v>
      </c>
      <c r="E11" s="4">
        <v>1</v>
      </c>
      <c r="F11" s="4">
        <v>1</v>
      </c>
      <c r="G11" s="4">
        <v>1</v>
      </c>
      <c r="H11" s="4">
        <v>0</v>
      </c>
      <c r="I11" s="8">
        <v>0</v>
      </c>
      <c r="J11" s="8">
        <v>0</v>
      </c>
      <c r="K11" s="9"/>
      <c r="L11" s="9"/>
      <c r="M11" s="9"/>
    </row>
    <row r="12" spans="1:13" ht="24.75" thickBot="1" x14ac:dyDescent="0.4">
      <c r="A12" s="2" t="s">
        <v>27</v>
      </c>
      <c r="B12" s="4">
        <v>1</v>
      </c>
      <c r="C12" s="4">
        <v>1</v>
      </c>
      <c r="D12" s="4">
        <v>0</v>
      </c>
      <c r="E12" s="4">
        <v>1</v>
      </c>
      <c r="F12" s="4">
        <v>1</v>
      </c>
      <c r="G12" s="4">
        <v>1</v>
      </c>
      <c r="H12" s="4">
        <v>0</v>
      </c>
      <c r="I12" s="8">
        <v>0</v>
      </c>
      <c r="J12" s="8">
        <v>0</v>
      </c>
      <c r="K12" s="9"/>
      <c r="L12" s="9"/>
      <c r="M12" s="9"/>
    </row>
    <row r="13" spans="1:13" ht="24.75" thickBot="1" x14ac:dyDescent="0.4">
      <c r="A13" s="2" t="s">
        <v>16</v>
      </c>
      <c r="B13" s="4">
        <v>0</v>
      </c>
      <c r="C13" s="4">
        <v>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8">
        <v>0</v>
      </c>
      <c r="J13" s="8">
        <v>0</v>
      </c>
      <c r="K13" s="9"/>
      <c r="L13" s="9"/>
      <c r="M13" s="9"/>
    </row>
    <row r="14" spans="1:13" ht="24.75" thickBot="1" x14ac:dyDescent="0.4">
      <c r="A14" s="2" t="s">
        <v>17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0</v>
      </c>
      <c r="I14" s="8">
        <v>0</v>
      </c>
      <c r="J14" s="8">
        <v>0</v>
      </c>
      <c r="K14" s="9"/>
      <c r="L14" s="9"/>
      <c r="M14" s="9"/>
    </row>
    <row r="15" spans="1:13" ht="24.75" thickBot="1" x14ac:dyDescent="0.4">
      <c r="A15" s="2" t="s">
        <v>18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0</v>
      </c>
      <c r="I15" s="8">
        <v>0</v>
      </c>
      <c r="J15" s="8">
        <v>0</v>
      </c>
      <c r="K15" s="9"/>
      <c r="L15" s="9"/>
      <c r="M15" s="9"/>
    </row>
    <row r="16" spans="1:13" ht="24.75" thickBot="1" x14ac:dyDescent="0.4">
      <c r="A16" s="2" t="s">
        <v>19</v>
      </c>
      <c r="B16" s="4">
        <v>1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8">
        <v>0</v>
      </c>
      <c r="J16" s="8">
        <v>0</v>
      </c>
      <c r="K16" s="9"/>
      <c r="L16" s="9"/>
      <c r="M16" s="9"/>
    </row>
    <row r="17" spans="1:12" ht="24.75" thickBot="1" x14ac:dyDescent="0.4">
      <c r="A17" s="2" t="s">
        <v>20</v>
      </c>
      <c r="B17" s="4">
        <v>1</v>
      </c>
      <c r="C17" s="4">
        <v>1</v>
      </c>
      <c r="D17" s="4">
        <v>1</v>
      </c>
      <c r="E17" s="4">
        <v>1</v>
      </c>
      <c r="F17" s="4">
        <v>1</v>
      </c>
      <c r="G17" s="4">
        <v>1</v>
      </c>
      <c r="H17" s="4">
        <v>0</v>
      </c>
      <c r="I17" s="8">
        <v>0</v>
      </c>
      <c r="J17" s="8">
        <v>0</v>
      </c>
      <c r="L17" s="9"/>
    </row>
    <row r="18" spans="1:12" ht="24.75" thickBot="1" x14ac:dyDescent="0.4">
      <c r="A18" s="2" t="s">
        <v>30</v>
      </c>
      <c r="B18" s="4">
        <v>0</v>
      </c>
      <c r="C18" s="4">
        <v>0</v>
      </c>
      <c r="D18" s="4">
        <v>0</v>
      </c>
      <c r="E18" s="4">
        <v>0</v>
      </c>
      <c r="F18" s="4">
        <v>1</v>
      </c>
      <c r="G18" s="4">
        <v>0</v>
      </c>
      <c r="H18" s="4">
        <v>0</v>
      </c>
      <c r="I18" s="8">
        <v>0</v>
      </c>
      <c r="J18" s="8">
        <v>0</v>
      </c>
      <c r="L18" s="9"/>
    </row>
    <row r="19" spans="1:12" ht="24.75" thickBot="1" x14ac:dyDescent="0.4">
      <c r="A19" s="2" t="s">
        <v>21</v>
      </c>
      <c r="B19" s="4">
        <v>1</v>
      </c>
      <c r="C19" s="4">
        <v>1</v>
      </c>
      <c r="D19" s="4">
        <v>1</v>
      </c>
      <c r="E19" s="4">
        <v>1</v>
      </c>
      <c r="F19" s="4">
        <v>1</v>
      </c>
      <c r="G19" s="4">
        <v>1</v>
      </c>
      <c r="H19" s="4">
        <v>0</v>
      </c>
      <c r="I19" s="8">
        <v>0</v>
      </c>
      <c r="J19" s="8">
        <v>0</v>
      </c>
      <c r="L19" s="9"/>
    </row>
    <row r="20" spans="1:12" x14ac:dyDescent="0.35">
      <c r="B20">
        <f>SUM(B2:B19)</f>
        <v>15</v>
      </c>
      <c r="C20">
        <f t="shared" ref="C20:F20" si="0">SUM(C2:C19)</f>
        <v>15</v>
      </c>
      <c r="D20">
        <f t="shared" si="0"/>
        <v>5</v>
      </c>
      <c r="E20">
        <f t="shared" si="0"/>
        <v>12</v>
      </c>
      <c r="F20">
        <f t="shared" si="0"/>
        <v>13</v>
      </c>
      <c r="L20" s="9"/>
    </row>
    <row r="21" spans="1:12" x14ac:dyDescent="0.35">
      <c r="A21" s="51"/>
      <c r="L21" s="9"/>
    </row>
  </sheetData>
  <mergeCells count="3">
    <mergeCell ref="K6:M6"/>
    <mergeCell ref="K7:M7"/>
    <mergeCell ref="K8:M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10</xdr:col>
                    <xdr:colOff>57150</xdr:colOff>
                    <xdr:row>1</xdr:row>
                    <xdr:rowOff>85725</xdr:rowOff>
                  </from>
                  <to>
                    <xdr:col>12</xdr:col>
                    <xdr:colOff>571500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G21"/>
  <sheetViews>
    <sheetView zoomScale="40" zoomScaleNormal="40" workbookViewId="0">
      <selection activeCell="B5" sqref="B5:B6"/>
    </sheetView>
  </sheetViews>
  <sheetFormatPr defaultRowHeight="23.25" x14ac:dyDescent="0.35"/>
  <cols>
    <col min="1" max="7" width="12.9140625" customWidth="1"/>
  </cols>
  <sheetData>
    <row r="1" spans="1:7" x14ac:dyDescent="0.35">
      <c r="A1" s="65">
        <f>'App Data'!A4</f>
        <v>43647</v>
      </c>
      <c r="B1" s="66"/>
      <c r="C1" s="66"/>
      <c r="D1" s="66"/>
      <c r="E1" s="66"/>
      <c r="F1" s="66"/>
      <c r="G1" s="67"/>
    </row>
    <row r="2" spans="1:7" ht="24" thickBot="1" x14ac:dyDescent="0.4">
      <c r="A2" s="68"/>
      <c r="B2" s="69"/>
      <c r="C2" s="69"/>
      <c r="D2" s="69"/>
      <c r="E2" s="69"/>
      <c r="F2" s="69"/>
      <c r="G2" s="70"/>
    </row>
    <row r="3" spans="1:7" ht="24" thickBot="1" x14ac:dyDescent="0.4">
      <c r="A3" s="12" t="s">
        <v>24</v>
      </c>
      <c r="B3" s="13" t="s">
        <v>25</v>
      </c>
      <c r="C3" s="13" t="s">
        <v>2</v>
      </c>
      <c r="D3" s="13" t="s">
        <v>3</v>
      </c>
      <c r="E3" s="13" t="s">
        <v>4</v>
      </c>
      <c r="F3" s="13" t="s">
        <v>5</v>
      </c>
      <c r="G3" s="14" t="s">
        <v>26</v>
      </c>
    </row>
    <row r="4" spans="1:7" ht="17.25" customHeight="1" x14ac:dyDescent="0.35">
      <c r="A4" s="15"/>
      <c r="B4" s="16">
        <v>1</v>
      </c>
      <c r="C4" s="16">
        <v>2</v>
      </c>
      <c r="D4" s="16">
        <v>3</v>
      </c>
      <c r="E4" s="16">
        <v>4</v>
      </c>
      <c r="F4" s="16">
        <v>5</v>
      </c>
      <c r="G4" s="17">
        <v>6</v>
      </c>
    </row>
    <row r="5" spans="1:7" x14ac:dyDescent="0.35">
      <c r="A5" s="72"/>
      <c r="B5" s="73" t="s">
        <v>19</v>
      </c>
      <c r="C5" s="73" t="s">
        <v>16</v>
      </c>
      <c r="D5" s="73" t="s">
        <v>17</v>
      </c>
      <c r="E5" s="73" t="s">
        <v>18</v>
      </c>
      <c r="F5" s="73" t="s">
        <v>21</v>
      </c>
      <c r="G5" s="74" t="s">
        <v>128</v>
      </c>
    </row>
    <row r="6" spans="1:7" x14ac:dyDescent="0.35">
      <c r="A6" s="72"/>
      <c r="B6" s="73"/>
      <c r="C6" s="73"/>
      <c r="D6" s="73"/>
      <c r="E6" s="73"/>
      <c r="F6" s="73"/>
      <c r="G6" s="74"/>
    </row>
    <row r="7" spans="1:7" ht="17.25" customHeight="1" x14ac:dyDescent="0.35">
      <c r="A7" s="18">
        <v>7</v>
      </c>
      <c r="B7" s="19">
        <v>8</v>
      </c>
      <c r="C7" s="19">
        <v>9</v>
      </c>
      <c r="D7" s="19">
        <v>10</v>
      </c>
      <c r="E7" s="19">
        <v>11</v>
      </c>
      <c r="F7" s="19">
        <v>12</v>
      </c>
      <c r="G7" s="20">
        <v>13</v>
      </c>
    </row>
    <row r="8" spans="1:7" x14ac:dyDescent="0.35">
      <c r="A8" s="72" t="s">
        <v>128</v>
      </c>
      <c r="B8" s="71" t="s">
        <v>20</v>
      </c>
      <c r="C8" s="71" t="s">
        <v>7</v>
      </c>
      <c r="D8" s="71" t="s">
        <v>11</v>
      </c>
      <c r="E8" s="71" t="s">
        <v>9</v>
      </c>
      <c r="F8" s="71" t="s">
        <v>15</v>
      </c>
      <c r="G8" s="74" t="s">
        <v>128</v>
      </c>
    </row>
    <row r="9" spans="1:7" x14ac:dyDescent="0.35">
      <c r="A9" s="72"/>
      <c r="B9" s="71"/>
      <c r="C9" s="71"/>
      <c r="D9" s="71"/>
      <c r="E9" s="71"/>
      <c r="F9" s="71"/>
      <c r="G9" s="74"/>
    </row>
    <row r="10" spans="1:7" ht="17.25" customHeight="1" x14ac:dyDescent="0.35">
      <c r="A10" s="18">
        <v>14</v>
      </c>
      <c r="B10" s="19">
        <v>15</v>
      </c>
      <c r="C10" s="19">
        <v>16</v>
      </c>
      <c r="D10" s="19">
        <v>17</v>
      </c>
      <c r="E10" s="19">
        <v>18</v>
      </c>
      <c r="F10" s="19">
        <v>19</v>
      </c>
      <c r="G10" s="20">
        <v>20</v>
      </c>
    </row>
    <row r="11" spans="1:7" x14ac:dyDescent="0.35">
      <c r="A11" s="72" t="s">
        <v>128</v>
      </c>
      <c r="B11" s="71" t="s">
        <v>8</v>
      </c>
      <c r="C11" s="71" t="s">
        <v>27</v>
      </c>
      <c r="D11" s="71" t="s">
        <v>129</v>
      </c>
      <c r="E11" s="71" t="s">
        <v>10</v>
      </c>
      <c r="F11" s="71" t="s">
        <v>30</v>
      </c>
      <c r="G11" s="74" t="s">
        <v>128</v>
      </c>
    </row>
    <row r="12" spans="1:7" x14ac:dyDescent="0.35">
      <c r="A12" s="72"/>
      <c r="B12" s="71"/>
      <c r="C12" s="71"/>
      <c r="D12" s="71"/>
      <c r="E12" s="71"/>
      <c r="F12" s="71"/>
      <c r="G12" s="74"/>
    </row>
    <row r="13" spans="1:7" ht="17.25" customHeight="1" x14ac:dyDescent="0.35">
      <c r="A13" s="18">
        <v>21</v>
      </c>
      <c r="B13" s="19">
        <v>22</v>
      </c>
      <c r="C13" s="19">
        <v>23</v>
      </c>
      <c r="D13" s="19">
        <v>24</v>
      </c>
      <c r="E13" s="19">
        <v>25</v>
      </c>
      <c r="F13" s="19">
        <v>26</v>
      </c>
      <c r="G13" s="20">
        <v>27</v>
      </c>
    </row>
    <row r="14" spans="1:7" x14ac:dyDescent="0.35">
      <c r="A14" s="72" t="s">
        <v>128</v>
      </c>
      <c r="B14" s="71" t="s">
        <v>10</v>
      </c>
      <c r="C14" s="71" t="s">
        <v>31</v>
      </c>
      <c r="D14" s="71" t="s">
        <v>129</v>
      </c>
      <c r="E14" s="71" t="s">
        <v>12</v>
      </c>
      <c r="F14" s="71" t="s">
        <v>13</v>
      </c>
      <c r="G14" s="74" t="s">
        <v>128</v>
      </c>
    </row>
    <row r="15" spans="1:7" x14ac:dyDescent="0.35">
      <c r="A15" s="72"/>
      <c r="B15" s="71"/>
      <c r="C15" s="71"/>
      <c r="D15" s="71"/>
      <c r="E15" s="71"/>
      <c r="F15" s="71"/>
      <c r="G15" s="74"/>
    </row>
    <row r="16" spans="1:7" ht="17.25" customHeight="1" x14ac:dyDescent="0.35">
      <c r="A16" s="18">
        <v>28</v>
      </c>
      <c r="B16" s="19">
        <v>29</v>
      </c>
      <c r="C16" s="19">
        <v>30</v>
      </c>
      <c r="D16" s="19">
        <v>31</v>
      </c>
      <c r="E16" s="19"/>
      <c r="F16" s="19"/>
      <c r="G16" s="20"/>
    </row>
    <row r="17" spans="1:7" x14ac:dyDescent="0.35">
      <c r="A17" s="72" t="s">
        <v>128</v>
      </c>
      <c r="B17" s="77" t="s">
        <v>12</v>
      </c>
      <c r="C17" s="71" t="s">
        <v>13</v>
      </c>
      <c r="D17" s="71"/>
      <c r="E17" s="71"/>
      <c r="F17" s="71"/>
      <c r="G17" s="74"/>
    </row>
    <row r="18" spans="1:7" x14ac:dyDescent="0.35">
      <c r="A18" s="72"/>
      <c r="B18" s="83"/>
      <c r="C18" s="71"/>
      <c r="D18" s="71"/>
      <c r="E18" s="71"/>
      <c r="F18" s="71"/>
      <c r="G18" s="74"/>
    </row>
    <row r="19" spans="1:7" ht="17.25" customHeight="1" x14ac:dyDescent="0.35">
      <c r="A19" s="18"/>
      <c r="B19" s="21"/>
      <c r="C19" s="19"/>
      <c r="D19" s="19"/>
      <c r="E19" s="19"/>
      <c r="F19" s="19"/>
      <c r="G19" s="20"/>
    </row>
    <row r="20" spans="1:7" x14ac:dyDescent="0.35">
      <c r="A20" s="75"/>
      <c r="B20" s="77"/>
      <c r="C20" s="79"/>
      <c r="D20" s="73"/>
      <c r="E20" s="73"/>
      <c r="F20" s="73"/>
      <c r="G20" s="74"/>
    </row>
    <row r="21" spans="1:7" ht="24" thickBot="1" x14ac:dyDescent="0.4">
      <c r="A21" s="76"/>
      <c r="B21" s="78"/>
      <c r="C21" s="80"/>
      <c r="D21" s="81"/>
      <c r="E21" s="81"/>
      <c r="F21" s="81"/>
      <c r="G21" s="82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14"/>
  <sheetViews>
    <sheetView workbookViewId="0">
      <selection activeCell="J12" sqref="J12"/>
    </sheetView>
  </sheetViews>
  <sheetFormatPr defaultRowHeight="23.25" x14ac:dyDescent="0.35"/>
  <cols>
    <col min="1" max="1" width="9.4140625" style="22" customWidth="1"/>
    <col min="2" max="6" width="8.6640625" style="22"/>
    <col min="7" max="7" width="8.6640625" style="22" customWidth="1"/>
    <col min="8" max="16384" width="8.6640625" style="22"/>
  </cols>
  <sheetData>
    <row r="1" spans="1:9" ht="24" thickBot="1" x14ac:dyDescent="0.4">
      <c r="A1" s="39" t="s">
        <v>32</v>
      </c>
      <c r="B1" s="84" t="s">
        <v>33</v>
      </c>
      <c r="C1" s="85"/>
      <c r="D1" s="40" t="s">
        <v>37</v>
      </c>
      <c r="E1" s="41" t="s">
        <v>50</v>
      </c>
      <c r="F1" s="86" t="s">
        <v>51</v>
      </c>
      <c r="G1" s="87"/>
      <c r="H1" s="87"/>
      <c r="I1" s="88"/>
    </row>
    <row r="2" spans="1:9" ht="24" thickBot="1" x14ac:dyDescent="0.4">
      <c r="A2" s="28">
        <f ca="1">TODAY()</f>
        <v>43455</v>
      </c>
      <c r="B2" s="30" t="s">
        <v>38</v>
      </c>
      <c r="C2" s="31">
        <v>31</v>
      </c>
      <c r="D2" s="25">
        <v>0</v>
      </c>
      <c r="E2" s="36">
        <v>0</v>
      </c>
      <c r="F2" s="23" t="s">
        <v>52</v>
      </c>
      <c r="G2" s="23" t="s">
        <v>53</v>
      </c>
      <c r="H2" s="23" t="s">
        <v>60</v>
      </c>
      <c r="I2" s="23" t="s">
        <v>61</v>
      </c>
    </row>
    <row r="3" spans="1:9" ht="24" thickBot="1" x14ac:dyDescent="0.4">
      <c r="A3" s="38" t="s">
        <v>47</v>
      </c>
      <c r="B3" s="32" t="s">
        <v>39</v>
      </c>
      <c r="C3" s="33">
        <v>28</v>
      </c>
      <c r="D3" s="26">
        <v>0</v>
      </c>
      <c r="E3" s="36">
        <v>1</v>
      </c>
      <c r="F3" s="89" t="s">
        <v>54</v>
      </c>
      <c r="G3" s="90"/>
      <c r="H3" s="90"/>
      <c r="I3" s="91"/>
    </row>
    <row r="4" spans="1:9" ht="24" thickBot="1" x14ac:dyDescent="0.4">
      <c r="A4" s="24">
        <v>43647</v>
      </c>
      <c r="B4" s="32" t="s">
        <v>40</v>
      </c>
      <c r="C4" s="33">
        <v>31</v>
      </c>
      <c r="D4" s="26">
        <v>0</v>
      </c>
      <c r="E4" s="36">
        <v>2</v>
      </c>
      <c r="F4" s="92">
        <f>COUNTA('Employee Preferences'!A2:A19)</f>
        <v>18</v>
      </c>
      <c r="G4" s="93"/>
      <c r="H4" s="93"/>
      <c r="I4" s="94"/>
    </row>
    <row r="5" spans="1:9" ht="24" thickBot="1" x14ac:dyDescent="0.4">
      <c r="A5" s="38" t="s">
        <v>49</v>
      </c>
      <c r="B5" s="32" t="s">
        <v>41</v>
      </c>
      <c r="C5" s="33">
        <v>30</v>
      </c>
      <c r="D5" s="26">
        <v>0</v>
      </c>
      <c r="E5" s="36">
        <v>3</v>
      </c>
      <c r="F5" s="44" t="s">
        <v>56</v>
      </c>
      <c r="G5" s="46" t="s">
        <v>57</v>
      </c>
    </row>
    <row r="6" spans="1:9" ht="24" thickBot="1" x14ac:dyDescent="0.4">
      <c r="A6" s="24">
        <v>43677</v>
      </c>
      <c r="B6" s="32" t="s">
        <v>34</v>
      </c>
      <c r="C6" s="33">
        <v>31</v>
      </c>
      <c r="D6" s="26">
        <v>0</v>
      </c>
      <c r="E6" s="36">
        <v>4</v>
      </c>
      <c r="F6" s="49">
        <v>1</v>
      </c>
      <c r="G6" s="23">
        <v>14</v>
      </c>
    </row>
    <row r="7" spans="1:9" ht="21.75" customHeight="1" thickBot="1" x14ac:dyDescent="0.4">
      <c r="A7" s="38" t="s">
        <v>48</v>
      </c>
      <c r="B7" s="32" t="s">
        <v>42</v>
      </c>
      <c r="C7" s="33">
        <v>30</v>
      </c>
      <c r="D7" s="26">
        <v>0</v>
      </c>
      <c r="E7" s="36">
        <v>5</v>
      </c>
    </row>
    <row r="8" spans="1:9" ht="24" thickBot="1" x14ac:dyDescent="0.4">
      <c r="A8" s="29">
        <f>WEEKDAY(Month_Start)</f>
        <v>2</v>
      </c>
      <c r="B8" s="32" t="s">
        <v>43</v>
      </c>
      <c r="C8" s="33">
        <v>31</v>
      </c>
      <c r="D8" s="26">
        <v>1</v>
      </c>
      <c r="E8" s="36">
        <v>6</v>
      </c>
    </row>
    <row r="9" spans="1:9" ht="24" thickBot="1" x14ac:dyDescent="0.4">
      <c r="A9" s="48" t="s">
        <v>51</v>
      </c>
      <c r="B9" s="32" t="s">
        <v>44</v>
      </c>
      <c r="C9" s="33">
        <v>31</v>
      </c>
      <c r="D9" s="26">
        <v>0</v>
      </c>
      <c r="E9" s="37">
        <v>7</v>
      </c>
      <c r="H9" s="42"/>
    </row>
    <row r="10" spans="1:9" ht="24" thickBot="1" x14ac:dyDescent="0.4">
      <c r="A10" s="28" t="str">
        <f>F2&amp;G2&amp;H2&amp;I2</f>
        <v>2019</v>
      </c>
      <c r="B10" s="32" t="s">
        <v>35</v>
      </c>
      <c r="C10" s="33">
        <v>30</v>
      </c>
      <c r="D10" s="26">
        <v>0</v>
      </c>
      <c r="E10" s="36">
        <v>8</v>
      </c>
    </row>
    <row r="11" spans="1:9" ht="24" thickBot="1" x14ac:dyDescent="0.4">
      <c r="A11" s="38" t="s">
        <v>47</v>
      </c>
      <c r="B11" s="32" t="s">
        <v>36</v>
      </c>
      <c r="C11" s="33">
        <v>31</v>
      </c>
      <c r="D11" s="26">
        <v>0</v>
      </c>
      <c r="E11" s="36">
        <v>9</v>
      </c>
      <c r="G11" s="47"/>
    </row>
    <row r="12" spans="1:9" ht="24" thickBot="1" x14ac:dyDescent="0.4">
      <c r="A12" s="50">
        <f>Month_Start</f>
        <v>43647</v>
      </c>
      <c r="B12" s="32" t="s">
        <v>45</v>
      </c>
      <c r="C12" s="33">
        <v>30</v>
      </c>
      <c r="D12" s="26">
        <v>0</v>
      </c>
    </row>
    <row r="13" spans="1:9" ht="24" thickBot="1" x14ac:dyDescent="0.4">
      <c r="A13" s="38" t="s">
        <v>49</v>
      </c>
      <c r="B13" s="34" t="s">
        <v>46</v>
      </c>
      <c r="C13" s="35">
        <v>31</v>
      </c>
      <c r="D13" s="27">
        <v>0</v>
      </c>
      <c r="G13" s="45"/>
    </row>
    <row r="14" spans="1:9" ht="24" thickBot="1" x14ac:dyDescent="0.4">
      <c r="A14" s="50">
        <f>month_end</f>
        <v>43677</v>
      </c>
    </row>
  </sheetData>
  <mergeCells count="4">
    <mergeCell ref="B1:C1"/>
    <mergeCell ref="F1:I1"/>
    <mergeCell ref="F3:I3"/>
    <mergeCell ref="F4:I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22" customWidth="1"/>
    <col min="2" max="16384" width="8.6640625" style="22"/>
  </cols>
  <sheetData>
    <row r="1" spans="1:7" ht="24" thickBot="1" x14ac:dyDescent="0.4">
      <c r="A1" s="96" t="s">
        <v>68</v>
      </c>
      <c r="B1" s="97"/>
      <c r="C1" s="97"/>
      <c r="D1" s="97"/>
      <c r="E1" s="97"/>
      <c r="F1" s="97"/>
      <c r="G1" s="98"/>
    </row>
    <row r="2" spans="1:7" ht="24" thickBot="1" x14ac:dyDescent="0.4"/>
    <row r="3" spans="1:7" ht="24" thickBot="1" x14ac:dyDescent="0.4">
      <c r="A3" s="96" t="s">
        <v>67</v>
      </c>
      <c r="B3" s="97"/>
      <c r="C3" s="97"/>
      <c r="D3" s="97"/>
      <c r="E3" s="97"/>
      <c r="F3" s="97"/>
      <c r="G3" s="98"/>
    </row>
    <row r="4" spans="1:7" ht="24" thickBot="1" x14ac:dyDescent="0.4">
      <c r="A4" s="52"/>
      <c r="B4" s="52"/>
      <c r="C4" s="52"/>
      <c r="D4" s="52"/>
      <c r="E4" s="52"/>
      <c r="F4" s="52"/>
      <c r="G4" s="52"/>
    </row>
    <row r="5" spans="1:7" ht="24" thickBot="1" x14ac:dyDescent="0.4">
      <c r="A5" s="100" t="s">
        <v>81</v>
      </c>
      <c r="B5" s="101"/>
      <c r="C5" s="101" t="s">
        <v>69</v>
      </c>
      <c r="D5" s="101"/>
      <c r="E5" s="101" t="s">
        <v>70</v>
      </c>
      <c r="F5" s="101"/>
      <c r="G5" s="53" t="s">
        <v>102</v>
      </c>
    </row>
    <row r="6" spans="1:7" ht="24" thickTop="1" x14ac:dyDescent="0.35">
      <c r="A6" s="99" t="s">
        <v>62</v>
      </c>
      <c r="B6" s="99"/>
      <c r="C6" s="99" t="s">
        <v>76</v>
      </c>
      <c r="D6" s="99"/>
      <c r="E6" s="99" t="s">
        <v>71</v>
      </c>
      <c r="F6" s="99"/>
      <c r="G6" s="54" t="s">
        <v>103</v>
      </c>
    </row>
    <row r="7" spans="1:7" x14ac:dyDescent="0.35">
      <c r="A7" s="95" t="s">
        <v>63</v>
      </c>
      <c r="B7" s="95"/>
      <c r="C7" s="95" t="s">
        <v>77</v>
      </c>
      <c r="D7" s="95"/>
      <c r="E7" s="95" t="s">
        <v>72</v>
      </c>
      <c r="F7" s="95"/>
      <c r="G7" s="55" t="s">
        <v>103</v>
      </c>
    </row>
    <row r="8" spans="1:7" x14ac:dyDescent="0.35">
      <c r="A8" s="95" t="s">
        <v>64</v>
      </c>
      <c r="B8" s="95"/>
      <c r="C8" s="95" t="s">
        <v>78</v>
      </c>
      <c r="D8" s="95"/>
      <c r="E8" s="95" t="s">
        <v>73</v>
      </c>
      <c r="F8" s="95"/>
      <c r="G8" s="55" t="s">
        <v>103</v>
      </c>
    </row>
    <row r="9" spans="1:7" x14ac:dyDescent="0.35">
      <c r="A9" s="95" t="s">
        <v>65</v>
      </c>
      <c r="B9" s="95"/>
      <c r="C9" s="95" t="s">
        <v>79</v>
      </c>
      <c r="D9" s="95"/>
      <c r="E9" s="95" t="s">
        <v>74</v>
      </c>
      <c r="F9" s="95"/>
      <c r="G9" s="55" t="s">
        <v>103</v>
      </c>
    </row>
    <row r="10" spans="1:7" x14ac:dyDescent="0.35">
      <c r="A10" s="95" t="s">
        <v>66</v>
      </c>
      <c r="B10" s="95"/>
      <c r="C10" s="95" t="s">
        <v>80</v>
      </c>
      <c r="D10" s="95"/>
      <c r="E10" s="95" t="s">
        <v>75</v>
      </c>
      <c r="F10" s="95"/>
      <c r="G10" s="55" t="s">
        <v>103</v>
      </c>
    </row>
    <row r="11" spans="1:7" x14ac:dyDescent="0.35">
      <c r="A11" s="95" t="s">
        <v>84</v>
      </c>
      <c r="B11" s="95"/>
      <c r="C11" s="95" t="s">
        <v>86</v>
      </c>
      <c r="D11" s="95"/>
      <c r="E11" s="95" t="s">
        <v>85</v>
      </c>
      <c r="F11" s="95"/>
      <c r="G11" s="55" t="s">
        <v>104</v>
      </c>
    </row>
    <row r="12" spans="1:7" x14ac:dyDescent="0.35">
      <c r="A12" s="95" t="s">
        <v>83</v>
      </c>
      <c r="B12" s="95"/>
      <c r="C12" s="95" t="s">
        <v>97</v>
      </c>
      <c r="D12" s="95"/>
      <c r="E12" s="95" t="s">
        <v>95</v>
      </c>
      <c r="F12" s="95"/>
      <c r="G12" s="55" t="s">
        <v>105</v>
      </c>
    </row>
    <row r="13" spans="1:7" x14ac:dyDescent="0.35">
      <c r="A13" s="95" t="s">
        <v>82</v>
      </c>
      <c r="B13" s="95"/>
      <c r="C13" s="95" t="s">
        <v>98</v>
      </c>
      <c r="D13" s="95"/>
      <c r="E13" s="95" t="s">
        <v>96</v>
      </c>
      <c r="F13" s="95"/>
      <c r="G13" s="55" t="s">
        <v>105</v>
      </c>
    </row>
    <row r="14" spans="1:7" ht="24" thickBot="1" x14ac:dyDescent="0.4"/>
    <row r="15" spans="1:7" ht="24" thickBot="1" x14ac:dyDescent="0.4">
      <c r="A15" s="96" t="s">
        <v>101</v>
      </c>
      <c r="B15" s="97"/>
      <c r="C15" s="97"/>
      <c r="D15" s="97"/>
      <c r="E15" s="97"/>
      <c r="F15" s="97"/>
      <c r="G15" s="98"/>
    </row>
    <row r="16" spans="1:7" ht="24" thickBot="1" x14ac:dyDescent="0.4">
      <c r="A16" s="52"/>
      <c r="B16" s="52"/>
      <c r="C16" s="52"/>
      <c r="D16" s="52"/>
      <c r="E16" s="52"/>
      <c r="F16" s="52"/>
      <c r="G16" s="52"/>
    </row>
    <row r="17" spans="1:7" ht="24" thickBot="1" x14ac:dyDescent="0.4">
      <c r="A17" s="102" t="s">
        <v>81</v>
      </c>
      <c r="B17" s="103"/>
      <c r="C17" s="103" t="s">
        <v>69</v>
      </c>
      <c r="D17" s="103"/>
      <c r="E17" s="103" t="s">
        <v>70</v>
      </c>
      <c r="F17" s="103"/>
      <c r="G17" s="53" t="s">
        <v>102</v>
      </c>
    </row>
    <row r="18" spans="1:7" ht="24" thickTop="1" x14ac:dyDescent="0.35">
      <c r="A18" s="99" t="s">
        <v>87</v>
      </c>
      <c r="B18" s="99"/>
      <c r="C18" s="99" t="s">
        <v>89</v>
      </c>
      <c r="D18" s="99"/>
      <c r="E18" s="99" t="s">
        <v>88</v>
      </c>
      <c r="F18" s="99"/>
      <c r="G18" s="54" t="s">
        <v>103</v>
      </c>
    </row>
    <row r="19" spans="1:7" x14ac:dyDescent="0.35">
      <c r="A19" s="95" t="s">
        <v>90</v>
      </c>
      <c r="B19" s="95"/>
      <c r="C19" s="95" t="s">
        <v>127</v>
      </c>
      <c r="D19" s="95"/>
      <c r="E19" s="95" t="s">
        <v>91</v>
      </c>
      <c r="F19" s="95"/>
      <c r="G19" s="55" t="s">
        <v>104</v>
      </c>
    </row>
    <row r="20" spans="1:7" x14ac:dyDescent="0.35">
      <c r="A20" s="95" t="s">
        <v>92</v>
      </c>
      <c r="B20" s="95"/>
      <c r="C20" s="95" t="s">
        <v>93</v>
      </c>
      <c r="D20" s="95"/>
      <c r="E20" s="95" t="s">
        <v>94</v>
      </c>
      <c r="F20" s="95"/>
      <c r="G20" s="55" t="s">
        <v>104</v>
      </c>
    </row>
    <row r="21" spans="1:7" x14ac:dyDescent="0.35">
      <c r="A21" s="95" t="s">
        <v>99</v>
      </c>
      <c r="B21" s="95"/>
      <c r="C21" s="95" t="s">
        <v>100</v>
      </c>
      <c r="D21" s="95"/>
      <c r="E21" s="95" t="s">
        <v>106</v>
      </c>
      <c r="F21" s="95"/>
      <c r="G21" s="55" t="s">
        <v>105</v>
      </c>
    </row>
    <row r="22" spans="1:7" ht="24" thickBot="1" x14ac:dyDescent="0.4">
      <c r="A22" s="104"/>
      <c r="B22" s="104"/>
      <c r="C22" s="104"/>
      <c r="D22" s="104"/>
      <c r="E22" s="104"/>
      <c r="F22" s="104"/>
      <c r="G22" s="56"/>
    </row>
    <row r="23" spans="1:7" ht="24" thickBot="1" x14ac:dyDescent="0.4">
      <c r="A23" s="96" t="s">
        <v>107</v>
      </c>
      <c r="B23" s="97"/>
      <c r="C23" s="97"/>
      <c r="D23" s="97"/>
      <c r="E23" s="97"/>
      <c r="F23" s="97"/>
      <c r="G23" s="98"/>
    </row>
    <row r="25" spans="1:7" x14ac:dyDescent="0.35">
      <c r="A25" s="105" t="s">
        <v>108</v>
      </c>
      <c r="B25" s="105"/>
      <c r="C25" s="105" t="s">
        <v>109</v>
      </c>
      <c r="D25" s="105"/>
      <c r="E25" s="105"/>
      <c r="F25" s="22" t="s">
        <v>113</v>
      </c>
      <c r="G25" s="22" t="s">
        <v>114</v>
      </c>
    </row>
    <row r="26" spans="1:7" x14ac:dyDescent="0.35">
      <c r="A26" s="105" t="s">
        <v>111</v>
      </c>
      <c r="B26" s="105"/>
      <c r="C26" s="105" t="s">
        <v>112</v>
      </c>
      <c r="D26" s="105"/>
      <c r="E26" s="105"/>
      <c r="F26" s="56" t="s">
        <v>115</v>
      </c>
      <c r="G26" s="56" t="s">
        <v>104</v>
      </c>
    </row>
    <row r="27" spans="1:7" x14ac:dyDescent="0.35">
      <c r="A27" s="105" t="s">
        <v>110</v>
      </c>
      <c r="B27" s="105"/>
      <c r="C27" s="105"/>
      <c r="D27" s="105"/>
      <c r="E27" s="105"/>
      <c r="F27" s="105"/>
      <c r="G27" s="105"/>
    </row>
    <row r="28" spans="1:7" x14ac:dyDescent="0.35">
      <c r="A28" s="56" t="s">
        <v>119</v>
      </c>
      <c r="B28" s="56" t="s">
        <v>120</v>
      </c>
      <c r="C28" s="105" t="s">
        <v>121</v>
      </c>
      <c r="D28" s="105"/>
      <c r="E28" s="105"/>
      <c r="F28" s="105"/>
      <c r="G28" s="105"/>
    </row>
    <row r="29" spans="1:7" x14ac:dyDescent="0.35">
      <c r="A29" s="22" t="s">
        <v>116</v>
      </c>
      <c r="B29" s="22" t="s">
        <v>122</v>
      </c>
      <c r="C29" s="105" t="s">
        <v>117</v>
      </c>
      <c r="D29" s="105"/>
      <c r="E29" s="105"/>
      <c r="F29" s="105"/>
      <c r="G29" s="105"/>
    </row>
    <row r="30" spans="1:7" x14ac:dyDescent="0.35">
      <c r="A30" s="105" t="s">
        <v>118</v>
      </c>
      <c r="B30" s="105"/>
      <c r="C30" s="105"/>
      <c r="D30" s="105"/>
      <c r="E30" s="105"/>
      <c r="F30" s="105"/>
      <c r="G30" s="105"/>
    </row>
    <row r="31" spans="1:7" x14ac:dyDescent="0.35">
      <c r="A31" s="22" t="s">
        <v>119</v>
      </c>
      <c r="B31" s="22" t="s">
        <v>120</v>
      </c>
    </row>
    <row r="32" spans="1:7" x14ac:dyDescent="0.35">
      <c r="A32" s="22" t="s">
        <v>125</v>
      </c>
      <c r="B32" s="22" t="s">
        <v>122</v>
      </c>
    </row>
    <row r="33" spans="1:2" x14ac:dyDescent="0.35">
      <c r="A33" s="22" t="s">
        <v>123</v>
      </c>
      <c r="B33" s="22" t="s">
        <v>104</v>
      </c>
    </row>
    <row r="34" spans="1:2" x14ac:dyDescent="0.35">
      <c r="A34" s="22" t="s">
        <v>126</v>
      </c>
    </row>
    <row r="35" spans="1:2" x14ac:dyDescent="0.35">
      <c r="A35" s="22" t="s">
        <v>124</v>
      </c>
      <c r="B35" s="22" t="s">
        <v>104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EEPREF</vt:lpstr>
      <vt:lpstr>Start Page</vt:lpstr>
      <vt:lpstr>Employee Preferences</vt:lpstr>
      <vt:lpstr>Tote Sort Schedule</vt:lpstr>
      <vt:lpstr>App Data</vt:lpstr>
      <vt:lpstr>Employee Class Description</vt:lpstr>
      <vt:lpstr>cal_start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2018-12-21T09:57:11Z</dcterms:modified>
</cp:coreProperties>
</file>