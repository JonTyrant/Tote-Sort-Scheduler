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cq5lxr\Desktop\"/>
    </mc:Choice>
  </mc:AlternateContent>
  <bookViews>
    <workbookView xWindow="0" yWindow="0" windowWidth="19170" windowHeight="11355" tabRatio="761" activeTab="1"/>
  </bookViews>
  <sheets>
    <sheet name="1) Start Here" sheetId="4" r:id="rId1"/>
    <sheet name="Employee Preferences" sheetId="1" r:id="rId2"/>
    <sheet name="3) Tote Sort Schedule" sheetId="2" r:id="rId3"/>
    <sheet name="4) Data" sheetId="3" r:id="rId4"/>
  </sheets>
  <functionGroups builtInGroupCount="18"/>
  <definedNames>
    <definedName name="cal_start">'4) Data'!$A$8</definedName>
    <definedName name="Date_Code">'4) Data'!$A$2</definedName>
    <definedName name="emp_count">'4) Data'!$F$4</definedName>
    <definedName name="month_end">'4) Data'!$A$6</definedName>
    <definedName name="month_name">'4) Data'!$F$4</definedName>
    <definedName name="Month_Start">'4) Data'!$A$4</definedName>
    <definedName name="pindex">'4) Data'!$G$6</definedName>
    <definedName name="stp_chk">'4) Data'!$F$6</definedName>
    <definedName name="year">'4) Data'!$A$10</definedName>
    <definedName name="year_box">'4)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A1" i="2" l="1"/>
  <c r="A10" i="3"/>
  <c r="A8" i="3"/>
  <c r="A2" i="3"/>
</calcChain>
</file>

<file path=xl/sharedStrings.xml><?xml version="1.0" encoding="utf-8"?>
<sst xmlns="http://schemas.openxmlformats.org/spreadsheetml/2006/main" count="71" uniqueCount="62">
  <si>
    <t>Name</t>
  </si>
  <si>
    <t xml:space="preserve">Mon </t>
  </si>
  <si>
    <t>Tue</t>
  </si>
  <si>
    <t>Wed</t>
  </si>
  <si>
    <t>Thur</t>
  </si>
  <si>
    <t>Fri</t>
  </si>
  <si>
    <t>Double</t>
  </si>
  <si>
    <t>Jon Tyra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</si>
  <si>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</si>
  <si>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</si>
  <si>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</si>
  <si>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</si>
  <si>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</si>
  <si>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</si>
  <si>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</si>
  <si>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</si>
  <si>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</si>
  <si>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</si>
  <si>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</si>
  <si>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</si>
  <si>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</si>
  <si>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</si>
  <si>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To Create Preferences</t>
  </si>
  <si>
    <t>Double In Preceding Month</t>
  </si>
  <si>
    <t xml:space="preserve">Sun </t>
  </si>
  <si>
    <t>Mon</t>
  </si>
  <si>
    <t>Sat</t>
  </si>
  <si>
    <t>Alex Pack</t>
  </si>
  <si>
    <t>Place 0 in box to exclude opt</t>
  </si>
  <si>
    <t>Place 1 in box to include day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</si>
  <si>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</si>
  <si>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</si>
  <si>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</si>
  <si>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</si>
  <si>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</si>
  <si>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</si>
  <si>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</si>
  <si>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</si>
  <si>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</si>
  <si>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</si>
  <si>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</si>
  <si>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</si>
  <si>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</si>
  <si>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</si>
  <si>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</si>
  <si>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</si>
  <si>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</si>
  <si>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</si>
  <si>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</si>
  <si>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</si>
  <si>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</si>
  <si>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</si>
  <si>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</si>
  <si>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</si>
  <si>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Tote Sort Scheduler v 0.1</t>
  </si>
  <si>
    <t>Step 1 - Setup Month Date</t>
  </si>
  <si>
    <t>Step 3 - Generate Calendar</t>
  </si>
  <si>
    <t xml:space="preserve">Step 2 - Input Employee Preferences </t>
  </si>
  <si>
    <t>Number of Employees</t>
  </si>
  <si>
    <t>Used Count</t>
  </si>
  <si>
    <t>Step 1</t>
  </si>
  <si>
    <t>Prev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</si>
</sst>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9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15" xfId="0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6" borderId="25" xfId="0" applyNumberFormat="1" applyFill="1" applyBorder="1" applyAlignment="1">
      <alignment horizontal="center" shrinkToFit="1"/>
    </xf>
    <xf numFmtId="0" fontId="0" fillId="6" borderId="27" xfId="0" applyNumberFormat="1" applyFill="1" applyBorder="1" applyAlignment="1">
      <alignment horizontal="center" shrinkToFit="1"/>
    </xf>
    <xf numFmtId="0" fontId="0" fillId="6" borderId="36" xfId="0" applyFill="1" applyBorder="1" applyAlignment="1">
      <alignment horizontal="center" shrinkToFit="1"/>
    </xf>
    <xf numFmtId="0" fontId="0" fillId="6" borderId="41" xfId="0" applyFill="1" applyBorder="1" applyAlignment="1">
      <alignment horizontal="center" shrinkToFit="1"/>
    </xf>
    <xf numFmtId="0" fontId="0" fillId="6" borderId="37" xfId="0" applyFill="1" applyBorder="1" applyAlignment="1">
      <alignment horizontal="center" shrinkToFit="1"/>
    </xf>
    <xf numFmtId="0" fontId="0" fillId="5" borderId="25" xfId="0" applyNumberFormat="1" applyFill="1" applyBorder="1" applyAlignment="1">
      <alignment horizontal="center" shrinkToFit="1"/>
    </xf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32" xfId="0" applyFill="1" applyBorder="1"/>
    <xf numFmtId="0" fontId="0" fillId="7" borderId="33" xfId="0" applyFill="1" applyBorder="1"/>
    <xf numFmtId="0" fontId="0" fillId="7" borderId="34" xfId="0" applyFill="1" applyBorder="1"/>
    <xf numFmtId="0" fontId="0" fillId="5" borderId="27" xfId="0" applyFill="1" applyBorder="1" applyAlignment="1">
      <alignment horizontal="center" shrinkToFit="1"/>
    </xf>
    <xf numFmtId="0" fontId="0" fillId="10" borderId="15" xfId="0" applyFill="1" applyBorder="1" applyAlignment="1">
      <alignment shrinkToFit="1"/>
    </xf>
    <xf numFmtId="0" fontId="0" fillId="10" borderId="39" xfId="0" applyFill="1" applyBorder="1" applyAlignment="1">
      <alignment horizontal="center" shrinkToFit="1"/>
    </xf>
    <xf numFmtId="0" fontId="0" fillId="10" borderId="11" xfId="0" applyFill="1" applyBorder="1" applyAlignment="1">
      <alignment shrinkToFit="1"/>
    </xf>
    <xf numFmtId="0" fontId="0" fillId="10" borderId="28" xfId="0" applyFill="1" applyBorder="1" applyAlignment="1">
      <alignment horizontal="center" shrinkToFit="1"/>
    </xf>
    <xf numFmtId="0" fontId="0" fillId="10" borderId="35" xfId="0" applyFill="1" applyBorder="1" applyAlignment="1">
      <alignment shrinkToFit="1"/>
    </xf>
    <xf numFmtId="0" fontId="0" fillId="10" borderId="40" xfId="0" applyFill="1" applyBorder="1" applyAlignment="1">
      <alignment horizontal="center" shrinkToFit="1"/>
    </xf>
    <xf numFmtId="0" fontId="0" fillId="10" borderId="25" xfId="0" applyFill="1" applyBorder="1" applyAlignment="1">
      <alignment horizontal="center" shrinkToFit="1"/>
    </xf>
    <xf numFmtId="0" fontId="0" fillId="10" borderId="42" xfId="0" applyFill="1" applyBorder="1" applyAlignment="1">
      <alignment horizontal="center" shrinkToFit="1"/>
    </xf>
    <xf numFmtId="0" fontId="0" fillId="11" borderId="25" xfId="0" applyFill="1" applyBorder="1" applyAlignment="1">
      <alignment shrinkToFit="1"/>
    </xf>
    <xf numFmtId="0" fontId="0" fillId="11" borderId="26" xfId="0" applyFont="1" applyFill="1" applyBorder="1" applyAlignment="1">
      <alignment shrinkToFit="1"/>
    </xf>
    <xf numFmtId="0" fontId="0" fillId="11" borderId="25" xfId="0" applyFont="1" applyFill="1" applyBorder="1" applyAlignment="1">
      <alignment shrinkToFit="1"/>
    </xf>
    <xf numFmtId="0" fontId="0" fillId="11" borderId="25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12" borderId="0" xfId="0" applyFill="1"/>
    <xf numFmtId="0" fontId="0" fillId="0" borderId="25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6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11" borderId="26" xfId="0" applyFill="1" applyBorder="1" applyAlignment="1">
      <alignment horizontal="center" shrinkToFit="1"/>
    </xf>
    <xf numFmtId="0" fontId="0" fillId="6" borderId="25" xfId="0" applyFill="1" applyBorder="1" applyAlignment="1">
      <alignment horizontal="center" shrinkToFit="1"/>
    </xf>
    <xf numFmtId="14" fontId="0" fillId="6" borderId="27" xfId="0" applyNumberFormat="1" applyFill="1" applyBorder="1" applyAlignment="1">
      <alignment horizontal="center" shrinkToFit="1"/>
    </xf>
    <xf numFmtId="0" fontId="1" fillId="0" borderId="0" xfId="0" applyFont="1" applyFill="1" applyBorder="1"/>
    <xf numFmtId="0" fontId="5" fillId="8" borderId="5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32" xfId="0" applyFont="1" applyFill="1" applyBorder="1" applyAlignment="1">
      <alignment horizontal="center" vertical="center"/>
    </xf>
    <xf numFmtId="0" fontId="5" fillId="8" borderId="33" xfId="0" applyFont="1" applyFill="1" applyBorder="1" applyAlignment="1">
      <alignment horizontal="center" vertical="center"/>
    </xf>
    <xf numFmtId="0" fontId="5" fillId="8" borderId="34" xfId="0" applyFont="1" applyFill="1" applyBorder="1" applyAlignment="1">
      <alignment horizontal="center" vertical="center"/>
    </xf>
    <xf numFmtId="0" fontId="8" fillId="9" borderId="29" xfId="0" applyFont="1" applyFill="1" applyBorder="1" applyAlignment="1">
      <alignment horizontal="center"/>
    </xf>
    <xf numFmtId="0" fontId="8" fillId="9" borderId="30" xfId="0" applyFont="1" applyFill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4" borderId="12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4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164" fontId="5" fillId="0" borderId="5" xfId="0" applyNumberFormat="1" applyFont="1" applyBorder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164" fontId="5" fillId="0" borderId="9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0" xfId="0" applyNumberFormat="1" applyFont="1" applyBorder="1" applyAlignment="1">
      <alignment horizontal="center" vertical="center"/>
    </xf>
    <xf numFmtId="0" fontId="0" fillId="11" borderId="18" xfId="0" applyFont="1" applyFill="1" applyBorder="1" applyAlignment="1">
      <alignment horizontal="center" shrinkToFit="1"/>
    </xf>
    <xf numFmtId="0" fontId="0" fillId="11" borderId="38" xfId="0" applyFont="1" applyFill="1" applyBorder="1" applyAlignment="1">
      <alignment horizontal="center" shrinkToFit="1"/>
    </xf>
    <xf numFmtId="0" fontId="0" fillId="11" borderId="29" xfId="0" applyFont="1" applyFill="1" applyBorder="1" applyAlignment="1">
      <alignment horizontal="center" shrinkToFit="1"/>
    </xf>
    <xf numFmtId="0" fontId="0" fillId="11" borderId="30" xfId="0" applyFont="1" applyFill="1" applyBorder="1" applyAlignment="1">
      <alignment horizontal="center" shrinkToFit="1"/>
    </xf>
    <xf numFmtId="0" fontId="0" fillId="11" borderId="31" xfId="0" applyFont="1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0" borderId="6" xfId="0" applyFill="1" applyBorder="1" applyAlignment="1">
      <alignment horizontal="center" shrinkToFit="1"/>
    </xf>
    <xf numFmtId="0" fontId="0" fillId="0" borderId="7" xfId="0" applyFill="1" applyBorder="1" applyAlignment="1">
      <alignment horizontal="center" shrinkToFit="1"/>
    </xf>
    <xf numFmtId="0" fontId="0" fillId="6" borderId="29" xfId="0" applyFill="1" applyBorder="1" applyAlignment="1">
      <alignment horizontal="center" shrinkToFit="1"/>
    </xf>
    <xf numFmtId="0" fontId="0" fillId="6" borderId="30" xfId="0" applyFill="1" applyBorder="1" applyAlignment="1">
      <alignment horizontal="center" shrinkToFit="1"/>
    </xf>
    <xf numFmtId="0" fontId="0" fillId="6" borderId="31" xfId="0" applyFill="1" applyBorder="1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5</xdr:row>
          <xdr:rowOff>209550</xdr:rowOff>
        </xdr:from>
        <xdr:to>
          <xdr:col>11</xdr:col>
          <xdr:colOff>1352550</xdr:colOff>
          <xdr:row>7</xdr:row>
          <xdr:rowOff>276225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Sheet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</xdr:row>
          <xdr:rowOff>171450</xdr:rowOff>
        </xdr:from>
        <xdr:to>
          <xdr:col>11</xdr:col>
          <xdr:colOff>1295400</xdr:colOff>
          <xdr:row>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11</xdr:row>
          <xdr:rowOff>95250</xdr:rowOff>
        </xdr:from>
        <xdr:to>
          <xdr:col>11</xdr:col>
          <xdr:colOff>1362075</xdr:colOff>
          <xdr:row>13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Pref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17</xdr:row>
          <xdr:rowOff>85725</xdr:rowOff>
        </xdr:from>
        <xdr:to>
          <xdr:col>11</xdr:col>
          <xdr:colOff>1343025</xdr:colOff>
          <xdr:row>19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85725</xdr:rowOff>
        </xdr:from>
        <xdr:to>
          <xdr:col>12</xdr:col>
          <xdr:colOff>571500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Preferences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 tint="-0.499984740745262"/>
  </sheetPr>
  <dimension ref="A1:M23"/>
  <sheetViews>
    <sheetView workbookViewId="0">
      <selection activeCell="B1" sqref="B1"/>
    </sheetView>
  </sheetViews>
  <sheetFormatPr defaultRowHeight="23.25" x14ac:dyDescent="0.35"/>
  <cols>
    <col min="1" max="1" width="1.4140625" customWidth="1"/>
    <col min="7" max="7" width="3.75" customWidth="1"/>
    <col min="10" max="10" width="11.4140625" customWidth="1"/>
    <col min="12" max="12" width="13.58203125" customWidth="1"/>
  </cols>
  <sheetData>
    <row r="1" spans="1:13" ht="24" thickBot="1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</row>
    <row r="2" spans="1:13" x14ac:dyDescent="0.35">
      <c r="A2" s="49"/>
      <c r="B2" s="58" t="s">
        <v>54</v>
      </c>
      <c r="C2" s="59"/>
      <c r="D2" s="59"/>
      <c r="E2" s="59"/>
      <c r="F2" s="59"/>
      <c r="G2" s="59"/>
      <c r="H2" s="59"/>
      <c r="I2" s="59"/>
      <c r="J2" s="59"/>
      <c r="K2" s="59"/>
      <c r="L2" s="60"/>
      <c r="M2" s="49"/>
    </row>
    <row r="3" spans="1:13" ht="24" thickBot="1" x14ac:dyDescent="0.4">
      <c r="A3" s="49"/>
      <c r="B3" s="61"/>
      <c r="C3" s="62"/>
      <c r="D3" s="62"/>
      <c r="E3" s="62"/>
      <c r="F3" s="62"/>
      <c r="G3" s="62"/>
      <c r="H3" s="62"/>
      <c r="I3" s="62"/>
      <c r="J3" s="62"/>
      <c r="K3" s="62"/>
      <c r="L3" s="63"/>
      <c r="M3" s="49"/>
    </row>
    <row r="4" spans="1:13" ht="24" thickBot="1" x14ac:dyDescent="0.4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</row>
    <row r="5" spans="1:13" ht="24" thickBot="1" x14ac:dyDescent="0.4">
      <c r="A5" s="49"/>
      <c r="B5" s="64" t="s">
        <v>55</v>
      </c>
      <c r="C5" s="65"/>
      <c r="D5" s="65"/>
      <c r="E5" s="65"/>
      <c r="F5" s="65"/>
      <c r="G5" s="65"/>
      <c r="H5" s="65"/>
      <c r="I5" s="65"/>
      <c r="J5" s="65"/>
      <c r="K5" s="65"/>
      <c r="L5" s="66"/>
      <c r="M5" s="49"/>
    </row>
    <row r="6" spans="1:13" x14ac:dyDescent="0.35">
      <c r="A6" s="49"/>
      <c r="B6" s="29"/>
      <c r="C6" s="30"/>
      <c r="D6" s="30"/>
      <c r="E6" s="30"/>
      <c r="F6" s="30"/>
      <c r="G6" s="30"/>
      <c r="H6" s="30"/>
      <c r="I6" s="30"/>
      <c r="J6" s="30"/>
      <c r="K6" s="30"/>
      <c r="L6" s="31"/>
      <c r="M6" s="49"/>
    </row>
    <row r="7" spans="1:13" x14ac:dyDescent="0.35">
      <c r="A7" s="49"/>
      <c r="B7" s="29"/>
      <c r="C7" s="30"/>
      <c r="D7" s="30"/>
      <c r="E7" s="30"/>
      <c r="F7" s="30"/>
      <c r="G7" s="30"/>
      <c r="H7" s="30"/>
      <c r="I7" s="30"/>
      <c r="J7" s="30"/>
      <c r="K7" s="30"/>
      <c r="L7" s="31"/>
      <c r="M7" s="49"/>
    </row>
    <row r="8" spans="1:13" x14ac:dyDescent="0.35">
      <c r="A8" s="49"/>
      <c r="B8" s="29"/>
      <c r="C8" s="30"/>
      <c r="D8" s="30"/>
      <c r="E8" s="30"/>
      <c r="F8" s="30"/>
      <c r="G8" s="30"/>
      <c r="H8" s="30"/>
      <c r="I8" s="30"/>
      <c r="J8" s="30"/>
      <c r="K8" s="30"/>
      <c r="L8" s="31"/>
      <c r="M8" s="49"/>
    </row>
    <row r="9" spans="1:13" ht="24" thickBot="1" x14ac:dyDescent="0.4">
      <c r="A9" s="49"/>
      <c r="B9" s="29"/>
      <c r="C9" s="30"/>
      <c r="D9" s="30"/>
      <c r="E9" s="30"/>
      <c r="F9" s="30"/>
      <c r="G9" s="30"/>
      <c r="H9" s="30"/>
      <c r="I9" s="30"/>
      <c r="J9" s="30"/>
      <c r="K9" s="30"/>
      <c r="L9" s="31"/>
      <c r="M9" s="49"/>
    </row>
    <row r="10" spans="1:13" ht="24" thickBot="1" x14ac:dyDescent="0.4">
      <c r="A10" s="49"/>
      <c r="B10" s="64" t="s">
        <v>57</v>
      </c>
      <c r="C10" s="65"/>
      <c r="D10" s="65"/>
      <c r="E10" s="65"/>
      <c r="F10" s="65"/>
      <c r="G10" s="65"/>
      <c r="H10" s="65"/>
      <c r="I10" s="65"/>
      <c r="J10" s="65"/>
      <c r="K10" s="65"/>
      <c r="L10" s="66"/>
      <c r="M10" s="49"/>
    </row>
    <row r="11" spans="1:13" x14ac:dyDescent="0.35">
      <c r="A11" s="49"/>
      <c r="B11" s="29"/>
      <c r="C11" s="30"/>
      <c r="D11" s="30"/>
      <c r="E11" s="30"/>
      <c r="F11" s="30"/>
      <c r="G11" s="30"/>
      <c r="H11" s="30"/>
      <c r="I11" s="30"/>
      <c r="J11" s="30"/>
      <c r="K11" s="30"/>
      <c r="L11" s="31"/>
      <c r="M11" s="49"/>
    </row>
    <row r="12" spans="1:13" x14ac:dyDescent="0.35">
      <c r="A12" s="49"/>
      <c r="B12" s="29"/>
      <c r="C12" s="30"/>
      <c r="D12" s="30"/>
      <c r="E12" s="30"/>
      <c r="F12" s="30"/>
      <c r="G12" s="30"/>
      <c r="H12" s="30"/>
      <c r="I12" s="30"/>
      <c r="J12" s="30"/>
      <c r="K12" s="30"/>
      <c r="L12" s="31"/>
      <c r="M12" s="49"/>
    </row>
    <row r="13" spans="1:13" x14ac:dyDescent="0.35">
      <c r="A13" s="49"/>
      <c r="B13" s="29"/>
      <c r="C13" s="30"/>
      <c r="D13" s="30"/>
      <c r="E13" s="30"/>
      <c r="F13" s="30"/>
      <c r="G13" s="30"/>
      <c r="H13" s="30"/>
      <c r="I13" s="30"/>
      <c r="J13" s="30"/>
      <c r="K13" s="30"/>
      <c r="L13" s="31"/>
      <c r="M13" s="49"/>
    </row>
    <row r="14" spans="1:13" x14ac:dyDescent="0.35">
      <c r="A14" s="49"/>
      <c r="B14" s="29"/>
      <c r="C14" s="30"/>
      <c r="D14" s="30"/>
      <c r="E14" s="30"/>
      <c r="F14" s="30"/>
      <c r="G14" s="30"/>
      <c r="H14" s="30"/>
      <c r="I14" s="30"/>
      <c r="J14" s="30"/>
      <c r="K14" s="30"/>
      <c r="L14" s="31"/>
      <c r="M14" s="49"/>
    </row>
    <row r="15" spans="1:13" ht="24" thickBot="1" x14ac:dyDescent="0.4">
      <c r="A15" s="49"/>
      <c r="B15" s="29"/>
      <c r="C15" s="30"/>
      <c r="D15" s="30"/>
      <c r="E15" s="30"/>
      <c r="F15" s="30"/>
      <c r="G15" s="30"/>
      <c r="H15" s="30"/>
      <c r="I15" s="30"/>
      <c r="J15" s="30"/>
      <c r="K15" s="30"/>
      <c r="L15" s="31"/>
      <c r="M15" s="49"/>
    </row>
    <row r="16" spans="1:13" ht="24" thickBot="1" x14ac:dyDescent="0.4">
      <c r="A16" s="49"/>
      <c r="B16" s="64" t="s">
        <v>56</v>
      </c>
      <c r="C16" s="65"/>
      <c r="D16" s="65"/>
      <c r="E16" s="65"/>
      <c r="F16" s="65"/>
      <c r="G16" s="65"/>
      <c r="H16" s="65"/>
      <c r="I16" s="65"/>
      <c r="J16" s="65"/>
      <c r="K16" s="65"/>
      <c r="L16" s="66"/>
      <c r="M16" s="49"/>
    </row>
    <row r="17" spans="1:13" x14ac:dyDescent="0.35">
      <c r="A17" s="49"/>
      <c r="B17" s="29"/>
      <c r="C17" s="30"/>
      <c r="D17" s="30"/>
      <c r="E17" s="30"/>
      <c r="F17" s="30"/>
      <c r="G17" s="30"/>
      <c r="H17" s="30"/>
      <c r="I17" s="30"/>
      <c r="J17" s="30"/>
      <c r="K17" s="30"/>
      <c r="L17" s="31"/>
      <c r="M17" s="49"/>
    </row>
    <row r="18" spans="1:13" x14ac:dyDescent="0.35">
      <c r="A18" s="49"/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1"/>
      <c r="M18" s="49"/>
    </row>
    <row r="19" spans="1:13" x14ac:dyDescent="0.35">
      <c r="A19" s="49"/>
      <c r="B19" s="29"/>
      <c r="C19" s="30"/>
      <c r="D19" s="30"/>
      <c r="E19" s="30"/>
      <c r="F19" s="30"/>
      <c r="G19" s="30"/>
      <c r="H19" s="30"/>
      <c r="I19" s="30"/>
      <c r="J19" s="30"/>
      <c r="K19" s="30"/>
      <c r="L19" s="31"/>
      <c r="M19" s="49"/>
    </row>
    <row r="20" spans="1:13" x14ac:dyDescent="0.35">
      <c r="A20" s="49"/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1"/>
      <c r="M20" s="49"/>
    </row>
    <row r="21" spans="1:13" ht="24" thickBot="1" x14ac:dyDescent="0.4">
      <c r="A21" s="49"/>
      <c r="B21" s="32"/>
      <c r="C21" s="33"/>
      <c r="D21" s="33"/>
      <c r="E21" s="33"/>
      <c r="F21" s="33"/>
      <c r="G21" s="33"/>
      <c r="H21" s="33"/>
      <c r="I21" s="33"/>
      <c r="J21" s="33"/>
      <c r="K21" s="33"/>
      <c r="L21" s="34"/>
      <c r="M21" s="49"/>
    </row>
    <row r="22" spans="1:13" x14ac:dyDescent="0.3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</row>
    <row r="23" spans="1:13" x14ac:dyDescent="0.35"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</row>
  </sheetData>
  <mergeCells count="4">
    <mergeCell ref="B2:L3"/>
    <mergeCell ref="B5:L5"/>
    <mergeCell ref="B10:L10"/>
    <mergeCell ref="B16:L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ow_date_setup">
                <anchor moveWithCells="1" sizeWithCells="1">
                  <from>
                    <xdr:col>1</xdr:col>
                    <xdr:colOff>228600</xdr:colOff>
                    <xdr:row>5</xdr:row>
                    <xdr:rowOff>209550</xdr:rowOff>
                  </from>
                  <to>
                    <xdr:col>11</xdr:col>
                    <xdr:colOff>1352550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utton2_Click">
                <anchor moveWithCells="1" sizeWithCells="1">
                  <from>
                    <xdr:col>11</xdr:col>
                    <xdr:colOff>152400</xdr:colOff>
                    <xdr:row>1</xdr:row>
                    <xdr:rowOff>171450</xdr:rowOff>
                  </from>
                  <to>
                    <xdr:col>11</xdr:col>
                    <xdr:colOff>1295400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ow_date_setup">
                <anchor moveWithCells="1" sizeWithCells="1">
                  <from>
                    <xdr:col>1</xdr:col>
                    <xdr:colOff>238125</xdr:colOff>
                    <xdr:row>11</xdr:row>
                    <xdr:rowOff>95250</xdr:rowOff>
                  </from>
                  <to>
                    <xdr:col>11</xdr:col>
                    <xdr:colOff>1362075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day_writer">
                <anchor moveWithCells="1" sizeWithCells="1">
                  <from>
                    <xdr:col>1</xdr:col>
                    <xdr:colOff>219075</xdr:colOff>
                    <xdr:row>17</xdr:row>
                    <xdr:rowOff>85725</xdr:rowOff>
                  </from>
                  <to>
                    <xdr:col>11</xdr:col>
                    <xdr:colOff>1343025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PREF">
    <tabColor rgb="FFFFFF00"/>
  </sheetPr>
  <dimension ref="A1:M21"/>
  <sheetViews>
    <sheetView tabSelected="1" zoomScale="90" zoomScaleNormal="90" workbookViewId="0">
      <selection activeCell="D22" sqref="D22"/>
    </sheetView>
  </sheetViews>
  <sheetFormatPr defaultRowHeight="23.25" x14ac:dyDescent="0.35"/>
  <cols>
    <col min="1" max="1" width="17.9140625" customWidth="1"/>
    <col min="2" max="6" width="7.08203125" customWidth="1"/>
    <col min="8" max="8" width="13.08203125" customWidth="1"/>
    <col min="9" max="9" width="11.08203125" customWidth="1"/>
    <col min="10" max="10" width="3.33203125" customWidth="1"/>
    <col min="12" max="12" width="6.9140625" customWidth="1"/>
    <col min="13" max="13" width="6.75" customWidth="1"/>
  </cols>
  <sheetData>
    <row r="1" spans="1:13" ht="24" thickBot="1" x14ac:dyDescent="0.4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11" t="s">
        <v>23</v>
      </c>
      <c r="I1" s="7" t="s">
        <v>59</v>
      </c>
      <c r="J1" s="7"/>
    </row>
    <row r="2" spans="1:13" ht="25.5" thickTop="1" thickBot="1" x14ac:dyDescent="0.4">
      <c r="A2" s="1" t="s">
        <v>7</v>
      </c>
      <c r="B2" s="3">
        <v>1</v>
      </c>
      <c r="C2" s="3">
        <v>1</v>
      </c>
      <c r="D2" s="3">
        <v>1</v>
      </c>
      <c r="E2" s="3">
        <v>1</v>
      </c>
      <c r="F2" s="3">
        <v>1</v>
      </c>
      <c r="G2" s="3">
        <v>1</v>
      </c>
      <c r="H2" s="3">
        <v>0</v>
      </c>
      <c r="I2" s="8">
        <v>0</v>
      </c>
      <c r="J2" s="8">
        <v>0</v>
      </c>
    </row>
    <row r="3" spans="1:13" ht="24.75" thickBot="1" x14ac:dyDescent="0.4">
      <c r="A3" s="2" t="s">
        <v>8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8">
        <v>0</v>
      </c>
      <c r="J3" s="8">
        <v>0</v>
      </c>
    </row>
    <row r="4" spans="1:13" ht="24.75" thickBot="1" x14ac:dyDescent="0.4">
      <c r="A4" s="2" t="s">
        <v>9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0</v>
      </c>
      <c r="I4" s="8">
        <v>0</v>
      </c>
      <c r="J4" s="8">
        <v>0</v>
      </c>
    </row>
    <row r="5" spans="1:13" ht="24.75" thickBot="1" x14ac:dyDescent="0.4">
      <c r="A5" s="2" t="s">
        <v>10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0</v>
      </c>
      <c r="I5" s="8">
        <v>0</v>
      </c>
      <c r="J5" s="8">
        <v>0</v>
      </c>
    </row>
    <row r="6" spans="1:13" ht="24.75" customHeight="1" thickBot="1" x14ac:dyDescent="0.4">
      <c r="A6" s="2" t="s">
        <v>11</v>
      </c>
      <c r="B6" s="4">
        <v>0</v>
      </c>
      <c r="C6" s="4">
        <v>0</v>
      </c>
      <c r="D6" s="4">
        <v>0</v>
      </c>
      <c r="E6" s="4">
        <v>0</v>
      </c>
      <c r="F6" s="4">
        <v>1</v>
      </c>
      <c r="G6" s="4">
        <v>0</v>
      </c>
      <c r="H6" s="4">
        <v>0</v>
      </c>
      <c r="I6" s="10">
        <v>0</v>
      </c>
      <c r="J6" s="10">
        <v>0</v>
      </c>
      <c r="K6" s="67" t="s">
        <v>22</v>
      </c>
      <c r="L6" s="67"/>
      <c r="M6" s="67"/>
    </row>
    <row r="7" spans="1:13" ht="24.75" thickBot="1" x14ac:dyDescent="0.4">
      <c r="A7" s="2" t="s">
        <v>12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0</v>
      </c>
      <c r="I7" s="10">
        <v>0</v>
      </c>
      <c r="J7" s="10">
        <v>0</v>
      </c>
      <c r="K7" s="68" t="s">
        <v>28</v>
      </c>
      <c r="L7" s="68"/>
      <c r="M7" s="68"/>
    </row>
    <row r="8" spans="1:13" ht="24.75" thickBot="1" x14ac:dyDescent="0.4">
      <c r="A8" s="2" t="s">
        <v>13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0</v>
      </c>
      <c r="I8" s="10">
        <v>0</v>
      </c>
      <c r="J8" s="10">
        <v>0</v>
      </c>
      <c r="K8" s="68" t="s">
        <v>29</v>
      </c>
      <c r="L8" s="68"/>
      <c r="M8" s="68"/>
    </row>
    <row r="9" spans="1:13" ht="24.75" thickBot="1" x14ac:dyDescent="0.4">
      <c r="A9" s="2" t="s">
        <v>14</v>
      </c>
      <c r="B9" s="4">
        <v>1</v>
      </c>
      <c r="C9" s="4">
        <v>1</v>
      </c>
      <c r="D9" s="4">
        <v>1</v>
      </c>
      <c r="E9" s="4">
        <v>1</v>
      </c>
      <c r="F9" s="4">
        <v>0</v>
      </c>
      <c r="G9" s="4">
        <v>0</v>
      </c>
      <c r="H9" s="4">
        <v>0</v>
      </c>
      <c r="I9" s="8">
        <v>0</v>
      </c>
      <c r="J9" s="8">
        <v>0</v>
      </c>
      <c r="K9" s="9"/>
      <c r="L9" s="9"/>
      <c r="M9" s="9"/>
    </row>
    <row r="10" spans="1:13" ht="24.75" thickBot="1" x14ac:dyDescent="0.4">
      <c r="A10" s="2" t="s">
        <v>31</v>
      </c>
      <c r="B10" s="4">
        <v>1</v>
      </c>
      <c r="C10" s="4">
        <v>1</v>
      </c>
      <c r="D10" s="4">
        <v>1</v>
      </c>
      <c r="E10" s="4">
        <v>0</v>
      </c>
      <c r="F10" s="4">
        <v>0</v>
      </c>
      <c r="G10" s="4">
        <v>1</v>
      </c>
      <c r="H10" s="4">
        <v>0</v>
      </c>
      <c r="I10" s="8">
        <v>0</v>
      </c>
      <c r="J10" s="8">
        <v>0</v>
      </c>
      <c r="K10" s="9"/>
      <c r="L10" s="9"/>
      <c r="M10" s="9"/>
    </row>
    <row r="11" spans="1:13" ht="24.75" thickBot="1" x14ac:dyDescent="0.4">
      <c r="A11" s="2" t="s">
        <v>15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0</v>
      </c>
      <c r="I11" s="8">
        <v>0</v>
      </c>
      <c r="J11" s="8">
        <v>0</v>
      </c>
      <c r="K11" s="9"/>
      <c r="L11" s="9"/>
      <c r="M11" s="9"/>
    </row>
    <row r="12" spans="1:13" ht="24.75" thickBot="1" x14ac:dyDescent="0.4">
      <c r="A12" s="2" t="s">
        <v>27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0</v>
      </c>
      <c r="I12" s="8">
        <v>0</v>
      </c>
      <c r="J12" s="8">
        <v>0</v>
      </c>
      <c r="K12" s="9"/>
      <c r="L12" s="9"/>
      <c r="M12" s="9"/>
    </row>
    <row r="13" spans="1:13" ht="24.75" thickBot="1" x14ac:dyDescent="0.4">
      <c r="A13" s="2" t="s">
        <v>16</v>
      </c>
      <c r="B13" s="4">
        <v>0</v>
      </c>
      <c r="C13" s="4">
        <v>1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8">
        <v>0</v>
      </c>
      <c r="J13" s="8">
        <v>0</v>
      </c>
      <c r="K13" s="9"/>
      <c r="L13" s="9"/>
      <c r="M13" s="9"/>
    </row>
    <row r="14" spans="1:13" ht="24.75" thickBot="1" x14ac:dyDescent="0.4">
      <c r="A14" s="2" t="s">
        <v>17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0</v>
      </c>
      <c r="I14" s="8">
        <v>0</v>
      </c>
      <c r="J14" s="8">
        <v>0</v>
      </c>
      <c r="K14" s="9"/>
      <c r="L14" s="9"/>
      <c r="M14" s="9"/>
    </row>
    <row r="15" spans="1:13" ht="24.75" thickBot="1" x14ac:dyDescent="0.4">
      <c r="A15" s="2" t="s">
        <v>18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0</v>
      </c>
      <c r="I15" s="8">
        <v>0</v>
      </c>
      <c r="J15" s="8">
        <v>0</v>
      </c>
      <c r="K15" s="9"/>
      <c r="L15" s="9"/>
      <c r="M15" s="9"/>
    </row>
    <row r="16" spans="1:13" ht="24.75" thickBot="1" x14ac:dyDescent="0.4">
      <c r="A16" s="2" t="s">
        <v>19</v>
      </c>
      <c r="B16" s="4">
        <v>1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8">
        <v>0</v>
      </c>
      <c r="J16" s="8">
        <v>0</v>
      </c>
      <c r="K16" s="9"/>
      <c r="L16" s="9"/>
      <c r="M16" s="9"/>
    </row>
    <row r="17" spans="1:12" ht="24.75" thickBot="1" x14ac:dyDescent="0.4">
      <c r="A17" s="2" t="s">
        <v>20</v>
      </c>
      <c r="B17" s="4">
        <v>1</v>
      </c>
      <c r="C17" s="4">
        <v>1</v>
      </c>
      <c r="D17" s="4">
        <v>1</v>
      </c>
      <c r="E17" s="4">
        <v>1</v>
      </c>
      <c r="F17" s="4">
        <v>1</v>
      </c>
      <c r="G17" s="4">
        <v>1</v>
      </c>
      <c r="H17" s="4">
        <v>0</v>
      </c>
      <c r="I17" s="8">
        <v>0</v>
      </c>
      <c r="J17" s="8">
        <v>0</v>
      </c>
      <c r="L17" s="9"/>
    </row>
    <row r="18" spans="1:12" ht="24.75" thickBot="1" x14ac:dyDescent="0.4">
      <c r="A18" s="2" t="s">
        <v>30</v>
      </c>
      <c r="B18" s="4">
        <v>0</v>
      </c>
      <c r="C18" s="4">
        <v>0</v>
      </c>
      <c r="D18" s="4">
        <v>0</v>
      </c>
      <c r="E18" s="4">
        <v>0</v>
      </c>
      <c r="F18" s="4">
        <v>1</v>
      </c>
      <c r="G18" s="4">
        <v>0</v>
      </c>
      <c r="H18" s="4">
        <v>0</v>
      </c>
      <c r="I18" s="8">
        <v>0</v>
      </c>
      <c r="J18" s="8">
        <v>0</v>
      </c>
      <c r="L18" s="9"/>
    </row>
    <row r="19" spans="1:12" ht="24.75" thickBot="1" x14ac:dyDescent="0.4">
      <c r="A19" s="2" t="s">
        <v>21</v>
      </c>
      <c r="B19" s="4">
        <v>1</v>
      </c>
      <c r="C19" s="4">
        <v>1</v>
      </c>
      <c r="D19" s="4">
        <v>1</v>
      </c>
      <c r="E19" s="4">
        <v>1</v>
      </c>
      <c r="F19" s="4">
        <v>1</v>
      </c>
      <c r="G19" s="4">
        <v>1</v>
      </c>
      <c r="H19" s="4">
        <v>0</v>
      </c>
      <c r="I19" s="8">
        <v>0</v>
      </c>
      <c r="J19" s="8">
        <v>0</v>
      </c>
      <c r="L19" s="9"/>
    </row>
    <row r="20" spans="1:12" x14ac:dyDescent="0.35">
      <c r="L20" s="9"/>
    </row>
    <row r="21" spans="1:12" x14ac:dyDescent="0.35">
      <c r="A21" s="57"/>
      <c r="L21" s="9"/>
    </row>
  </sheetData>
  <mergeCells count="3">
    <mergeCell ref="K6:M6"/>
    <mergeCell ref="K7:M7"/>
    <mergeCell ref="K8:M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10</xdr:col>
                    <xdr:colOff>57150</xdr:colOff>
                    <xdr:row>1</xdr:row>
                    <xdr:rowOff>85725</xdr:rowOff>
                  </from>
                  <to>
                    <xdr:col>12</xdr:col>
                    <xdr:colOff>571500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G21"/>
  <sheetViews>
    <sheetView zoomScaleNormal="100" workbookViewId="0">
      <selection activeCell="B5" sqref="B5:B6"/>
    </sheetView>
  </sheetViews>
  <sheetFormatPr defaultRowHeight="23.25" x14ac:dyDescent="0.35"/>
  <cols>
    <col min="1" max="7" width="12.9140625" customWidth="1"/>
  </cols>
  <sheetData>
    <row r="1" spans="1:7" x14ac:dyDescent="0.35">
      <c r="A1" s="82">
        <f>'4) Data'!A4</f>
        <v>43831</v>
      </c>
      <c r="B1" s="83"/>
      <c r="C1" s="83"/>
      <c r="D1" s="83"/>
      <c r="E1" s="83"/>
      <c r="F1" s="83"/>
      <c r="G1" s="84"/>
    </row>
    <row r="2" spans="1:7" ht="24" thickBot="1" x14ac:dyDescent="0.4">
      <c r="A2" s="85"/>
      <c r="B2" s="86"/>
      <c r="C2" s="86"/>
      <c r="D2" s="86"/>
      <c r="E2" s="86"/>
      <c r="F2" s="86"/>
      <c r="G2" s="87"/>
    </row>
    <row r="3" spans="1:7" ht="24" thickBot="1" x14ac:dyDescent="0.4">
      <c r="A3" s="12" t="s">
        <v>24</v>
      </c>
      <c r="B3" s="13" t="s">
        <v>25</v>
      </c>
      <c r="C3" s="13" t="s">
        <v>2</v>
      </c>
      <c r="D3" s="13" t="s">
        <v>3</v>
      </c>
      <c r="E3" s="13" t="s">
        <v>4</v>
      </c>
      <c r="F3" s="13" t="s">
        <v>5</v>
      </c>
      <c r="G3" s="14" t="s">
        <v>26</v>
      </c>
    </row>
    <row r="4" spans="1:7" ht="17.25" customHeight="1" x14ac:dyDescent="0.35">
      <c r="A4" s="15"/>
      <c r="B4" s="16"/>
      <c r="C4" s="16"/>
      <c r="D4" s="16">
        <v>1</v>
      </c>
      <c r="E4" s="16">
        <v>2</v>
      </c>
      <c r="F4" s="16">
        <v>3</v>
      </c>
      <c r="G4" s="17">
        <v>4</v>
      </c>
    </row>
    <row r="5" spans="1:7" x14ac:dyDescent="0.35">
      <c r="A5" s="81"/>
      <c r="B5" s="76"/>
      <c r="C5" s="76"/>
      <c r="D5" s="76"/>
      <c r="E5" s="76"/>
      <c r="F5" s="76"/>
      <c r="G5" s="69"/>
    </row>
    <row r="6" spans="1:7" x14ac:dyDescent="0.35">
      <c r="A6" s="81"/>
      <c r="B6" s="76"/>
      <c r="C6" s="76"/>
      <c r="D6" s="76"/>
      <c r="E6" s="76"/>
      <c r="F6" s="76"/>
      <c r="G6" s="69"/>
    </row>
    <row r="7" spans="1:7" ht="17.25" customHeight="1" x14ac:dyDescent="0.35">
      <c r="A7" s="18">
        <v>5</v>
      </c>
      <c r="B7" s="19">
        <v>6</v>
      </c>
      <c r="C7" s="19">
        <v>7</v>
      </c>
      <c r="D7" s="19">
        <v>8</v>
      </c>
      <c r="E7" s="19">
        <v>9</v>
      </c>
      <c r="F7" s="19">
        <v>10</v>
      </c>
      <c r="G7" s="20">
        <v>11</v>
      </c>
    </row>
    <row r="8" spans="1:7" x14ac:dyDescent="0.35">
      <c r="A8" s="81"/>
      <c r="B8" s="80"/>
      <c r="C8" s="80"/>
      <c r="D8" s="80"/>
      <c r="E8" s="80"/>
      <c r="F8" s="80"/>
      <c r="G8" s="69"/>
    </row>
    <row r="9" spans="1:7" x14ac:dyDescent="0.35">
      <c r="A9" s="81"/>
      <c r="B9" s="80"/>
      <c r="C9" s="80"/>
      <c r="D9" s="80"/>
      <c r="E9" s="80"/>
      <c r="F9" s="80"/>
      <c r="G9" s="69"/>
    </row>
    <row r="10" spans="1:7" ht="17.25" customHeight="1" x14ac:dyDescent="0.35">
      <c r="A10" s="18">
        <v>12</v>
      </c>
      <c r="B10" s="19">
        <v>13</v>
      </c>
      <c r="C10" s="19">
        <v>14</v>
      </c>
      <c r="D10" s="19">
        <v>15</v>
      </c>
      <c r="E10" s="19">
        <v>16</v>
      </c>
      <c r="F10" s="19">
        <v>17</v>
      </c>
      <c r="G10" s="20">
        <v>18</v>
      </c>
    </row>
    <row r="11" spans="1:7" x14ac:dyDescent="0.35">
      <c r="A11" s="81"/>
      <c r="B11" s="80"/>
      <c r="C11" s="80"/>
      <c r="D11" s="80"/>
      <c r="E11" s="80"/>
      <c r="F11" s="80"/>
      <c r="G11" s="69"/>
    </row>
    <row r="12" spans="1:7" x14ac:dyDescent="0.35">
      <c r="A12" s="81"/>
      <c r="B12" s="80"/>
      <c r="C12" s="80"/>
      <c r="D12" s="80"/>
      <c r="E12" s="80"/>
      <c r="F12" s="80"/>
      <c r="G12" s="69"/>
    </row>
    <row r="13" spans="1:7" ht="17.25" customHeight="1" x14ac:dyDescent="0.35">
      <c r="A13" s="18">
        <v>19</v>
      </c>
      <c r="B13" s="19">
        <v>20</v>
      </c>
      <c r="C13" s="19">
        <v>21</v>
      </c>
      <c r="D13" s="19">
        <v>22</v>
      </c>
      <c r="E13" s="19">
        <v>23</v>
      </c>
      <c r="F13" s="19">
        <v>24</v>
      </c>
      <c r="G13" s="20">
        <v>25</v>
      </c>
    </row>
    <row r="14" spans="1:7" x14ac:dyDescent="0.35">
      <c r="A14" s="81"/>
      <c r="B14" s="80"/>
      <c r="C14" s="80"/>
      <c r="D14" s="80"/>
      <c r="E14" s="80"/>
      <c r="F14" s="80"/>
      <c r="G14" s="69"/>
    </row>
    <row r="15" spans="1:7" x14ac:dyDescent="0.35">
      <c r="A15" s="81"/>
      <c r="B15" s="80"/>
      <c r="C15" s="80"/>
      <c r="D15" s="80"/>
      <c r="E15" s="80"/>
      <c r="F15" s="80"/>
      <c r="G15" s="69"/>
    </row>
    <row r="16" spans="1:7" ht="17.25" customHeight="1" x14ac:dyDescent="0.35">
      <c r="A16" s="18">
        <v>26</v>
      </c>
      <c r="B16" s="19">
        <v>27</v>
      </c>
      <c r="C16" s="19">
        <v>28</v>
      </c>
      <c r="D16" s="19">
        <v>29</v>
      </c>
      <c r="E16" s="19">
        <v>30</v>
      </c>
      <c r="F16" s="19">
        <v>31</v>
      </c>
      <c r="G16" s="20"/>
    </row>
    <row r="17" spans="1:7" x14ac:dyDescent="0.35">
      <c r="A17" s="81"/>
      <c r="B17" s="72"/>
      <c r="C17" s="80"/>
      <c r="D17" s="80"/>
      <c r="E17" s="80"/>
      <c r="F17" s="80"/>
      <c r="G17" s="69"/>
    </row>
    <row r="18" spans="1:7" x14ac:dyDescent="0.35">
      <c r="A18" s="81"/>
      <c r="B18" s="79"/>
      <c r="C18" s="80"/>
      <c r="D18" s="80"/>
      <c r="E18" s="80"/>
      <c r="F18" s="80"/>
      <c r="G18" s="69"/>
    </row>
    <row r="19" spans="1:7" ht="17.25" customHeight="1" x14ac:dyDescent="0.35">
      <c r="A19" s="18"/>
      <c r="B19" s="21"/>
      <c r="C19" s="19"/>
      <c r="D19" s="19"/>
      <c r="E19" s="19"/>
      <c r="F19" s="19"/>
      <c r="G19" s="20"/>
    </row>
    <row r="20" spans="1:7" x14ac:dyDescent="0.35">
      <c r="A20" s="70"/>
      <c r="B20" s="72"/>
      <c r="C20" s="74"/>
      <c r="D20" s="76"/>
      <c r="E20" s="76"/>
      <c r="F20" s="76"/>
      <c r="G20" s="69"/>
    </row>
    <row r="21" spans="1:7" ht="24" thickBot="1" x14ac:dyDescent="0.4">
      <c r="A21" s="71"/>
      <c r="B21" s="73"/>
      <c r="C21" s="75"/>
      <c r="D21" s="77"/>
      <c r="E21" s="77"/>
      <c r="F21" s="77"/>
      <c r="G21" s="78"/>
    </row>
  </sheetData>
  <mergeCells count="43">
    <mergeCell ref="A1:G2"/>
    <mergeCell ref="D8:D9"/>
    <mergeCell ref="C8:C9"/>
    <mergeCell ref="B8:B9"/>
    <mergeCell ref="A8:A9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4:A15"/>
    <mergeCell ref="B14:B15"/>
    <mergeCell ref="C14:C15"/>
    <mergeCell ref="D14:D15"/>
    <mergeCell ref="E14:E15"/>
    <mergeCell ref="F14:F15"/>
    <mergeCell ref="G14:G15"/>
    <mergeCell ref="B11:B12"/>
    <mergeCell ref="C11:C12"/>
    <mergeCell ref="D11:D12"/>
    <mergeCell ref="E11:E12"/>
    <mergeCell ref="F11:F12"/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</mergeCells>
  <pageMargins left="0.7" right="0.7" top="0.75" bottom="0.75" header="0.3" footer="0.3"/>
  <pageSetup scale="8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I14"/>
  <sheetViews>
    <sheetView workbookViewId="0">
      <selection activeCell="A14" sqref="A14"/>
    </sheetView>
  </sheetViews>
  <sheetFormatPr defaultRowHeight="23.25" x14ac:dyDescent="0.35"/>
  <cols>
    <col min="1" max="1" width="9.4140625" style="22" customWidth="1"/>
    <col min="2" max="6" width="8.6640625" style="22"/>
    <col min="7" max="7" width="8.6640625" style="22" customWidth="1"/>
    <col min="8" max="16384" width="8.6640625" style="22"/>
  </cols>
  <sheetData>
    <row r="1" spans="1:9" ht="24" thickBot="1" x14ac:dyDescent="0.4">
      <c r="A1" s="45" t="s">
        <v>32</v>
      </c>
      <c r="B1" s="88" t="s">
        <v>33</v>
      </c>
      <c r="C1" s="89"/>
      <c r="D1" s="46" t="s">
        <v>37</v>
      </c>
      <c r="E1" s="47" t="s">
        <v>50</v>
      </c>
      <c r="F1" s="90" t="s">
        <v>51</v>
      </c>
      <c r="G1" s="91"/>
      <c r="H1" s="91"/>
      <c r="I1" s="92"/>
    </row>
    <row r="2" spans="1:9" ht="24" thickBot="1" x14ac:dyDescent="0.4">
      <c r="A2" s="28">
        <f ca="1">TODAY()</f>
        <v>43452</v>
      </c>
      <c r="B2" s="36" t="s">
        <v>38</v>
      </c>
      <c r="C2" s="37">
        <v>31</v>
      </c>
      <c r="D2" s="25">
        <v>1</v>
      </c>
      <c r="E2" s="42">
        <v>0</v>
      </c>
      <c r="F2" s="23" t="s">
        <v>52</v>
      </c>
      <c r="G2" s="23" t="s">
        <v>53</v>
      </c>
      <c r="H2" s="23" t="s">
        <v>52</v>
      </c>
      <c r="I2" s="23" t="s">
        <v>53</v>
      </c>
    </row>
    <row r="3" spans="1:9" ht="24" thickBot="1" x14ac:dyDescent="0.4">
      <c r="A3" s="44" t="s">
        <v>47</v>
      </c>
      <c r="B3" s="38" t="s">
        <v>39</v>
      </c>
      <c r="C3" s="39">
        <v>28</v>
      </c>
      <c r="D3" s="26">
        <v>0</v>
      </c>
      <c r="E3" s="42">
        <v>1</v>
      </c>
      <c r="F3" s="93" t="s">
        <v>58</v>
      </c>
      <c r="G3" s="94"/>
      <c r="H3" s="94"/>
      <c r="I3" s="95"/>
    </row>
    <row r="4" spans="1:9" ht="24" thickBot="1" x14ac:dyDescent="0.4">
      <c r="A4" s="24">
        <v>43831</v>
      </c>
      <c r="B4" s="38" t="s">
        <v>40</v>
      </c>
      <c r="C4" s="39">
        <v>31</v>
      </c>
      <c r="D4" s="26">
        <v>0</v>
      </c>
      <c r="E4" s="42">
        <v>2</v>
      </c>
      <c r="F4" s="96">
        <f>COUNTA('Employee Preferences'!A2:A19)</f>
        <v>18</v>
      </c>
      <c r="G4" s="97"/>
      <c r="H4" s="97"/>
      <c r="I4" s="98"/>
    </row>
    <row r="5" spans="1:9" ht="24" thickBot="1" x14ac:dyDescent="0.4">
      <c r="A5" s="44" t="s">
        <v>49</v>
      </c>
      <c r="B5" s="38" t="s">
        <v>41</v>
      </c>
      <c r="C5" s="39">
        <v>30</v>
      </c>
      <c r="D5" s="26">
        <v>0</v>
      </c>
      <c r="E5" s="42">
        <v>3</v>
      </c>
      <c r="F5" s="50" t="s">
        <v>60</v>
      </c>
      <c r="G5" s="52" t="s">
        <v>61</v>
      </c>
    </row>
    <row r="6" spans="1:9" ht="24" thickBot="1" x14ac:dyDescent="0.4">
      <c r="A6" s="24">
        <v>43861</v>
      </c>
      <c r="B6" s="38" t="s">
        <v>34</v>
      </c>
      <c r="C6" s="39">
        <v>31</v>
      </c>
      <c r="D6" s="26">
        <v>0</v>
      </c>
      <c r="E6" s="42">
        <v>4</v>
      </c>
      <c r="F6" s="55">
        <v>1</v>
      </c>
      <c r="G6" s="23">
        <v>8</v>
      </c>
    </row>
    <row r="7" spans="1:9" ht="21.75" customHeight="1" thickBot="1" x14ac:dyDescent="0.4">
      <c r="A7" s="44" t="s">
        <v>48</v>
      </c>
      <c r="B7" s="38" t="s">
        <v>42</v>
      </c>
      <c r="C7" s="39">
        <v>30</v>
      </c>
      <c r="D7" s="26">
        <v>0</v>
      </c>
      <c r="E7" s="42">
        <v>5</v>
      </c>
    </row>
    <row r="8" spans="1:9" ht="24" thickBot="1" x14ac:dyDescent="0.4">
      <c r="A8" s="35">
        <f>WEEKDAY(Month_Start)</f>
        <v>4</v>
      </c>
      <c r="B8" s="38" t="s">
        <v>43</v>
      </c>
      <c r="C8" s="39">
        <v>31</v>
      </c>
      <c r="D8" s="26">
        <v>0</v>
      </c>
      <c r="E8" s="42">
        <v>6</v>
      </c>
    </row>
    <row r="9" spans="1:9" ht="24" thickBot="1" x14ac:dyDescent="0.4">
      <c r="A9" s="54" t="s">
        <v>51</v>
      </c>
      <c r="B9" s="38" t="s">
        <v>44</v>
      </c>
      <c r="C9" s="39">
        <v>31</v>
      </c>
      <c r="D9" s="26">
        <v>0</v>
      </c>
      <c r="E9" s="43">
        <v>7</v>
      </c>
      <c r="H9" s="48"/>
    </row>
    <row r="10" spans="1:9" ht="24" thickBot="1" x14ac:dyDescent="0.4">
      <c r="A10" s="28" t="str">
        <f>F2&amp;G2&amp;H2&amp;I2</f>
        <v>2020</v>
      </c>
      <c r="B10" s="38" t="s">
        <v>35</v>
      </c>
      <c r="C10" s="39">
        <v>30</v>
      </c>
      <c r="D10" s="26">
        <v>0</v>
      </c>
      <c r="E10" s="42">
        <v>8</v>
      </c>
    </row>
    <row r="11" spans="1:9" ht="24" thickBot="1" x14ac:dyDescent="0.4">
      <c r="A11" s="44" t="s">
        <v>47</v>
      </c>
      <c r="B11" s="38" t="s">
        <v>36</v>
      </c>
      <c r="C11" s="39">
        <v>31</v>
      </c>
      <c r="D11" s="26">
        <v>0</v>
      </c>
      <c r="E11" s="42">
        <v>9</v>
      </c>
      <c r="G11" s="53"/>
    </row>
    <row r="12" spans="1:9" ht="24" thickBot="1" x14ac:dyDescent="0.4">
      <c r="A12" s="56">
        <v>43831</v>
      </c>
      <c r="B12" s="38" t="s">
        <v>45</v>
      </c>
      <c r="C12" s="39">
        <v>30</v>
      </c>
      <c r="D12" s="26">
        <v>0</v>
      </c>
    </row>
    <row r="13" spans="1:9" ht="24" thickBot="1" x14ac:dyDescent="0.4">
      <c r="A13" s="44" t="s">
        <v>49</v>
      </c>
      <c r="B13" s="40" t="s">
        <v>46</v>
      </c>
      <c r="C13" s="41">
        <v>31</v>
      </c>
      <c r="D13" s="27">
        <v>0</v>
      </c>
      <c r="G13" s="51"/>
    </row>
    <row r="14" spans="1:9" ht="24" thickBot="1" x14ac:dyDescent="0.4">
      <c r="A14" s="56">
        <v>43861</v>
      </c>
    </row>
  </sheetData>
  <mergeCells count="4">
    <mergeCell ref="B1:C1"/>
    <mergeCell ref="F1:I1"/>
    <mergeCell ref="F3:I3"/>
    <mergeCell ref="F4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1) Start Here</vt:lpstr>
      <vt:lpstr>Employee Preferences</vt:lpstr>
      <vt:lpstr>3) Tote Sort Schedule</vt:lpstr>
      <vt:lpstr>4) Data</vt:lpstr>
      <vt:lpstr>cal_start</vt:lpstr>
      <vt:lpstr>Date_Code</vt:lpstr>
      <vt:lpstr>emp_count</vt:lpstr>
      <vt:lpstr>month_end</vt:lpstr>
      <vt:lpstr>month_name</vt:lpstr>
      <vt:lpstr>Month_Start</vt:lpstr>
      <vt:lpstr>pindex</vt:lpstr>
      <vt:lpstr>stp_chk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2018-12-18T07:58:02Z</dcterms:modified>
</cp:coreProperties>
</file>